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bluemann\Desktop\zad2 hamowanie\"/>
    </mc:Choice>
  </mc:AlternateContent>
  <bookViews>
    <workbookView xWindow="0" yWindow="0" windowWidth="20490" windowHeight="6750" activeTab="3"/>
  </bookViews>
  <sheets>
    <sheet name="fi" sheetId="4" r:id="rId1"/>
    <sheet name="omega" sheetId="5" r:id="rId2"/>
    <sheet name="epsilon" sheetId="6" r:id="rId3"/>
    <sheet name="M" sheetId="7" r:id="rId4"/>
    <sheet name="dane" sheetId="1" r:id="rId5"/>
    <sheet name="wyniki" sheetId="8" r:id="rId6"/>
  </sheets>
  <functionGroups builtInGroupCount="18"/>
  <calcPr calcId="152511"/>
</workbook>
</file>

<file path=xl/calcChain.xml><?xml version="1.0" encoding="utf-8"?>
<calcChain xmlns="http://schemas.openxmlformats.org/spreadsheetml/2006/main">
  <c r="F3" i="8" l="1"/>
  <c r="G3" i="8"/>
  <c r="F4" i="8"/>
  <c r="G4" i="8"/>
  <c r="F5" i="8"/>
  <c r="G5" i="8"/>
  <c r="F6" i="8"/>
  <c r="G6" i="8"/>
  <c r="F7" i="8"/>
  <c r="G7" i="8"/>
  <c r="F8" i="8"/>
  <c r="G8" i="8"/>
  <c r="F9" i="8"/>
  <c r="G9" i="8"/>
  <c r="F10" i="8"/>
  <c r="G10" i="8"/>
  <c r="F11" i="8"/>
  <c r="G11" i="8"/>
  <c r="F12" i="8"/>
  <c r="G1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2" i="8"/>
  <c r="G2" i="8"/>
  <c r="F18" i="1"/>
  <c r="I18" i="1" s="1"/>
  <c r="F17" i="1"/>
  <c r="I17" i="1" s="1"/>
  <c r="I16" i="1"/>
  <c r="F14" i="1"/>
  <c r="I14" i="1" s="1"/>
  <c r="E14" i="1"/>
  <c r="E13" i="1"/>
  <c r="I13" i="1" s="1"/>
  <c r="I12" i="1"/>
  <c r="F12" i="1"/>
  <c r="E12" i="1"/>
  <c r="F11" i="1"/>
  <c r="I11" i="1" s="1"/>
  <c r="E11" i="1"/>
  <c r="E10" i="1"/>
  <c r="H10" i="1" s="1"/>
  <c r="I10" i="1" s="1"/>
  <c r="E9" i="1"/>
  <c r="H9" i="1" s="1"/>
  <c r="I9" i="1" s="1"/>
  <c r="E8" i="1"/>
  <c r="H8" i="1" s="1"/>
  <c r="I8" i="1" s="1"/>
  <c r="B8" i="1"/>
  <c r="F7" i="1"/>
  <c r="E7" i="1"/>
  <c r="H7" i="1" s="1"/>
  <c r="I7" i="1" s="1"/>
  <c r="E6" i="1"/>
  <c r="H6" i="1" s="1"/>
  <c r="I6" i="1" s="1"/>
  <c r="B6" i="1"/>
  <c r="H5" i="1"/>
  <c r="I5" i="1" s="1"/>
  <c r="B5" i="1"/>
  <c r="E4" i="1"/>
  <c r="H4" i="1" s="1"/>
  <c r="I4" i="1" s="1"/>
  <c r="G3" i="1"/>
  <c r="H3" i="1" s="1"/>
  <c r="I3" i="1" s="1"/>
  <c r="E3" i="1"/>
  <c r="E19" i="1" s="1"/>
  <c r="B4" i="1" s="1"/>
  <c r="I19" i="1" l="1"/>
  <c r="B9" i="1" s="1"/>
  <c r="L31" i="1" l="1"/>
  <c r="K30" i="1" l="1"/>
  <c r="L30" i="1"/>
  <c r="L32" i="1" l="1"/>
  <c r="M8" i="1"/>
  <c r="M7" i="1" s="1"/>
  <c r="L5" i="1" l="1"/>
  <c r="B22" i="1" s="1"/>
  <c r="M10" i="1" l="1"/>
  <c r="H2" i="8" s="1"/>
  <c r="M9" i="1"/>
  <c r="B17" i="1" s="1"/>
  <c r="B19" i="1" s="1"/>
  <c r="B20" i="1" s="1"/>
  <c r="L4" i="1" l="1"/>
  <c r="B21" i="1" s="1"/>
</calcChain>
</file>

<file path=xl/sharedStrings.xml><?xml version="1.0" encoding="utf-8"?>
<sst xmlns="http://schemas.openxmlformats.org/spreadsheetml/2006/main" count="64" uniqueCount="63">
  <si>
    <t>dt[s]</t>
  </si>
  <si>
    <t>dto[s]</t>
  </si>
  <si>
    <t>kN</t>
  </si>
  <si>
    <t>t[s]</t>
  </si>
  <si>
    <t>fi[rad]</t>
  </si>
  <si>
    <t>Fsa0 [N]</t>
  </si>
  <si>
    <t>omega[rad/s]</t>
  </si>
  <si>
    <t>epsilon[rad/s^2]</t>
  </si>
  <si>
    <t>fi0[rad]</t>
  </si>
  <si>
    <t>figr[rad]</t>
  </si>
  <si>
    <t>Ca1[N/mm]</t>
  </si>
  <si>
    <t>Ca2[N/mm]</t>
  </si>
  <si>
    <t>Ra[mm]</t>
  </si>
  <si>
    <t>Fsag [N]</t>
  </si>
  <si>
    <t>Ma0</t>
  </si>
  <si>
    <t>Mag</t>
  </si>
  <si>
    <t>moment pocz</t>
  </si>
  <si>
    <t>sztywnosc skr</t>
  </si>
  <si>
    <t>moment gr/przejs</t>
  </si>
  <si>
    <t>Ih[mm2]</t>
  </si>
  <si>
    <t>ca2</t>
  </si>
  <si>
    <t>i</t>
  </si>
  <si>
    <t>jednostki</t>
  </si>
  <si>
    <t>fi0</t>
  </si>
  <si>
    <t>figr</t>
  </si>
  <si>
    <t>Csa1</t>
  </si>
  <si>
    <t>Csa2</t>
  </si>
  <si>
    <t>To[s]</t>
  </si>
  <si>
    <t>Moment</t>
  </si>
  <si>
    <t>promien[mm]</t>
  </si>
  <si>
    <t>Ftkc</t>
  </si>
  <si>
    <t>U</t>
  </si>
  <si>
    <t>Fsa</t>
  </si>
  <si>
    <t>nazwa zespołu</t>
  </si>
  <si>
    <t>masa własna [kg]</t>
  </si>
  <si>
    <t>Ramię [m]</t>
  </si>
  <si>
    <t>długość [m]</t>
  </si>
  <si>
    <t>własny moment bezwł</t>
  </si>
  <si>
    <t>moment względem p. obrotu</t>
  </si>
  <si>
    <t>dźwignie boczne</t>
  </si>
  <si>
    <t>to górne</t>
  </si>
  <si>
    <t>dźwignia dolna</t>
  </si>
  <si>
    <t>szczęki</t>
  </si>
  <si>
    <t>górna sprężyna</t>
  </si>
  <si>
    <t>cięgna (dystans)</t>
  </si>
  <si>
    <t>jarzma</t>
  </si>
  <si>
    <t>amortyzator</t>
  </si>
  <si>
    <t>sworzeń1</t>
  </si>
  <si>
    <t>sworzeń2</t>
  </si>
  <si>
    <t>sworzeń3</t>
  </si>
  <si>
    <t>sworzeń4</t>
  </si>
  <si>
    <t>m [kg]</t>
  </si>
  <si>
    <t>N</t>
  </si>
  <si>
    <t>N; mm; t</t>
  </si>
  <si>
    <t>dzielnik kroków całkowania</t>
  </si>
  <si>
    <t>czas symulacji</t>
  </si>
  <si>
    <t>krok całkowania T/N/kN</t>
  </si>
  <si>
    <t>ilośc p. na wykresie- liczba kroków całkowania</t>
  </si>
  <si>
    <t>wychylenie pocz</t>
  </si>
  <si>
    <t>wychylenie graniczne</t>
  </si>
  <si>
    <t>SUMA</t>
  </si>
  <si>
    <t xml:space="preserve">Koniec 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</si>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</sst>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E+00"/>
    <numFmt numFmtId="165" formatCode="0.0000000"/>
    <numFmt numFmtId="166" formatCode="dd/mm/yy\ h:mm;@"/>
  </numFmts>
  <fonts count="7">
    <font>
      <sz val="11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1"/>
      <color rgb="FFFF0000"/>
      <name val="Czcionka tekstu podstawowego"/>
      <family val="2"/>
      <charset val="238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1" fillId="0" borderId="0" xfId="1"/>
    <xf numFmtId="0" fontId="2" fillId="0" borderId="0" xfId="1" applyFont="1" applyAlignment="1">
      <alignment vertical="center"/>
    </xf>
    <xf numFmtId="11" fontId="0" fillId="0" borderId="0" xfId="0" applyNumberForma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0" fontId="0" fillId="0" borderId="0" xfId="0" applyBorder="1"/>
    <xf numFmtId="0" fontId="1" fillId="0" borderId="0" xfId="1" applyBorder="1"/>
    <xf numFmtId="0" fontId="1" fillId="0" borderId="0" xfId="1" applyBorder="1" applyAlignment="1">
      <alignment horizontal="center" vertical="center"/>
    </xf>
    <xf numFmtId="0" fontId="1" fillId="0" borderId="0" xfId="1" applyBorder="1" applyAlignment="1">
      <alignment horizontal="center"/>
    </xf>
    <xf numFmtId="0" fontId="2" fillId="0" borderId="0" xfId="1" applyFont="1" applyBorder="1" applyAlignment="1">
      <alignment vertical="center"/>
    </xf>
    <xf numFmtId="2" fontId="0" fillId="0" borderId="0" xfId="0" applyNumberFormat="1" applyFill="1"/>
    <xf numFmtId="0" fontId="4" fillId="0" borderId="0" xfId="0" applyNumberFormat="1" applyFont="1" applyFill="1"/>
    <xf numFmtId="0" fontId="3" fillId="0" borderId="0" xfId="0" applyFont="1" applyFill="1"/>
    <xf numFmtId="0" fontId="0" fillId="0" borderId="1" xfId="0" applyBorder="1" applyAlignment="1">
      <alignment vertical="center"/>
    </xf>
    <xf numFmtId="0" fontId="0" fillId="4" borderId="1" xfId="0" applyFill="1" applyBorder="1"/>
    <xf numFmtId="11" fontId="0" fillId="5" borderId="1" xfId="0" applyNumberFormat="1" applyFill="1" applyBorder="1"/>
    <xf numFmtId="165" fontId="0" fillId="5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2" fontId="0" fillId="5" borderId="1" xfId="0" applyNumberFormat="1" applyFill="1" applyBorder="1"/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2" borderId="1" xfId="0" applyFont="1" applyFill="1" applyBorder="1"/>
    <xf numFmtId="0" fontId="6" fillId="0" borderId="1" xfId="0" applyFont="1" applyBorder="1"/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/>
    <xf numFmtId="166" fontId="0" fillId="0" borderId="1" xfId="0" applyNumberFormat="1" applyBorder="1"/>
    <xf numFmtId="22" fontId="0" fillId="0" borderId="1" xfId="0" applyNumberFormat="1" applyBorder="1"/>
    <xf numFmtId="0" fontId="0" fillId="0" borderId="1" xfId="0" applyBorder="1"/>
    <xf numFmtId="0" fontId="2" fillId="0" borderId="0" xfId="1" applyFont="1" applyBorder="1" applyAlignment="1">
      <alignment horizontal="center" vertical="center"/>
    </xf>
  </cellXfs>
  <cellStyles count="2">
    <cellStyle name="Normalny" xfId="0" builtinId="0"/>
    <cellStyle name="Normalny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wyniki!$B$1</c:f>
              <c:strCache>
                <c:ptCount val="1"/>
                <c:pt idx="0">
                  <c:v>fi[rad]</c:v>
                </c:pt>
              </c:strCache>
            </c:strRef>
          </c:tx>
          <c:marker>
            <c:symbol val="diamond"/>
            <c:size val="2"/>
          </c:marker>
          <c:xVal>
            <c:strRef>
              <c:f>wyniki!$A:$A</c:f>
              <c:strCache>
                <c:ptCount val="501"/>
                <c:pt idx="0">
                  <c:v>t[s]</c:v>
                </c:pt>
                <c:pt idx="1">
                  <c:v>0,0003</c:v>
                </c:pt>
                <c:pt idx="2">
                  <c:v>0,0006</c:v>
                </c:pt>
                <c:pt idx="3">
                  <c:v>0,0009</c:v>
                </c:pt>
                <c:pt idx="4">
                  <c:v>0,0012</c:v>
                </c:pt>
                <c:pt idx="5">
                  <c:v>0,0015</c:v>
                </c:pt>
                <c:pt idx="6">
                  <c:v>0,0018</c:v>
                </c:pt>
                <c:pt idx="7">
                  <c:v>0,0021</c:v>
                </c:pt>
                <c:pt idx="8">
                  <c:v>0,0024</c:v>
                </c:pt>
                <c:pt idx="9">
                  <c:v>0,0027</c:v>
                </c:pt>
                <c:pt idx="10">
                  <c:v>0,003</c:v>
                </c:pt>
                <c:pt idx="11">
                  <c:v>0,0033</c:v>
                </c:pt>
                <c:pt idx="12">
                  <c:v>0,0036</c:v>
                </c:pt>
                <c:pt idx="13">
                  <c:v>0,0039</c:v>
                </c:pt>
                <c:pt idx="14">
                  <c:v>0,0042</c:v>
                </c:pt>
                <c:pt idx="15">
                  <c:v>0,0045</c:v>
                </c:pt>
                <c:pt idx="16">
                  <c:v>0,0048</c:v>
                </c:pt>
                <c:pt idx="17">
                  <c:v>0,0051</c:v>
                </c:pt>
                <c:pt idx="18">
                  <c:v>0,0054</c:v>
                </c:pt>
                <c:pt idx="19">
                  <c:v>0,0057</c:v>
                </c:pt>
                <c:pt idx="20">
                  <c:v>0,006</c:v>
                </c:pt>
                <c:pt idx="21">
                  <c:v>0,0063</c:v>
                </c:pt>
                <c:pt idx="22">
                  <c:v>0,0066</c:v>
                </c:pt>
                <c:pt idx="23">
                  <c:v>0,0069</c:v>
                </c:pt>
                <c:pt idx="24">
                  <c:v>0,0072</c:v>
                </c:pt>
                <c:pt idx="25">
                  <c:v>0,0075</c:v>
                </c:pt>
                <c:pt idx="26">
                  <c:v>0,0078</c:v>
                </c:pt>
                <c:pt idx="27">
                  <c:v>0,0081</c:v>
                </c:pt>
                <c:pt idx="28">
                  <c:v>0,0084</c:v>
                </c:pt>
                <c:pt idx="29">
                  <c:v>0,0087</c:v>
                </c:pt>
                <c:pt idx="30">
                  <c:v>0,009</c:v>
                </c:pt>
                <c:pt idx="31">
                  <c:v>0,0093</c:v>
                </c:pt>
                <c:pt idx="32">
                  <c:v>0,0096</c:v>
                </c:pt>
                <c:pt idx="33">
                  <c:v>0,0099</c:v>
                </c:pt>
                <c:pt idx="34">
                  <c:v>0,0102</c:v>
                </c:pt>
                <c:pt idx="35">
                  <c:v>0,0105</c:v>
                </c:pt>
                <c:pt idx="36">
                  <c:v>0,0108</c:v>
                </c:pt>
                <c:pt idx="37">
                  <c:v>0,0111</c:v>
                </c:pt>
                <c:pt idx="38">
                  <c:v>0,0114</c:v>
                </c:pt>
                <c:pt idx="39">
                  <c:v>0,0117</c:v>
                </c:pt>
                <c:pt idx="40">
                  <c:v>0,012</c:v>
                </c:pt>
                <c:pt idx="41">
                  <c:v>0,0123</c:v>
                </c:pt>
                <c:pt idx="42">
                  <c:v>0,0126</c:v>
                </c:pt>
                <c:pt idx="43">
                  <c:v>0,0129</c:v>
                </c:pt>
                <c:pt idx="44">
                  <c:v>0,0132</c:v>
                </c:pt>
                <c:pt idx="45">
                  <c:v>0,0135</c:v>
                </c:pt>
                <c:pt idx="46">
                  <c:v>0,0138</c:v>
                </c:pt>
                <c:pt idx="47">
                  <c:v>0,0141</c:v>
                </c:pt>
                <c:pt idx="48">
                  <c:v>0,0144</c:v>
                </c:pt>
                <c:pt idx="49">
                  <c:v>0,0147</c:v>
                </c:pt>
                <c:pt idx="50">
                  <c:v>0,015</c:v>
                </c:pt>
                <c:pt idx="51">
                  <c:v>0,0153</c:v>
                </c:pt>
                <c:pt idx="52">
                  <c:v>0,0156</c:v>
                </c:pt>
                <c:pt idx="53">
                  <c:v>0,0159</c:v>
                </c:pt>
                <c:pt idx="54">
                  <c:v>0,0162</c:v>
                </c:pt>
                <c:pt idx="55">
                  <c:v>0,0165</c:v>
                </c:pt>
                <c:pt idx="56">
                  <c:v>0,0168</c:v>
                </c:pt>
                <c:pt idx="57">
                  <c:v>0,0171</c:v>
                </c:pt>
                <c:pt idx="58">
                  <c:v>0,0174</c:v>
                </c:pt>
                <c:pt idx="59">
                  <c:v>0,0177</c:v>
                </c:pt>
                <c:pt idx="60">
                  <c:v>0,018</c:v>
                </c:pt>
                <c:pt idx="61">
                  <c:v>0,0183</c:v>
                </c:pt>
                <c:pt idx="62">
                  <c:v>0,0186</c:v>
                </c:pt>
                <c:pt idx="63">
                  <c:v>0,0189</c:v>
                </c:pt>
                <c:pt idx="64">
                  <c:v>0,0192</c:v>
                </c:pt>
                <c:pt idx="65">
                  <c:v>0,0195</c:v>
                </c:pt>
                <c:pt idx="66">
                  <c:v>0,0198</c:v>
                </c:pt>
                <c:pt idx="67">
                  <c:v>0,0201</c:v>
                </c:pt>
                <c:pt idx="68">
                  <c:v>0,0204</c:v>
                </c:pt>
                <c:pt idx="69">
                  <c:v>0,0207</c:v>
                </c:pt>
                <c:pt idx="70">
                  <c:v>0,021</c:v>
                </c:pt>
                <c:pt idx="71">
                  <c:v>0,0213</c:v>
                </c:pt>
                <c:pt idx="72">
                  <c:v>0,0216</c:v>
                </c:pt>
                <c:pt idx="73">
                  <c:v>0,0219</c:v>
                </c:pt>
                <c:pt idx="74">
                  <c:v>0,0222</c:v>
                </c:pt>
                <c:pt idx="75">
                  <c:v>0,0225</c:v>
                </c:pt>
                <c:pt idx="76">
                  <c:v>0,0228</c:v>
                </c:pt>
                <c:pt idx="77">
                  <c:v>0,0231</c:v>
                </c:pt>
                <c:pt idx="78">
                  <c:v>0,0234</c:v>
                </c:pt>
                <c:pt idx="79">
                  <c:v>0,0237</c:v>
                </c:pt>
                <c:pt idx="80">
                  <c:v>0,024</c:v>
                </c:pt>
                <c:pt idx="81">
                  <c:v>0,0243</c:v>
                </c:pt>
                <c:pt idx="82">
                  <c:v>0,0246</c:v>
                </c:pt>
                <c:pt idx="83">
                  <c:v>0,0249</c:v>
                </c:pt>
                <c:pt idx="84">
                  <c:v>0,0252</c:v>
                </c:pt>
                <c:pt idx="85">
                  <c:v>0,0255</c:v>
                </c:pt>
                <c:pt idx="86">
                  <c:v>0,0258</c:v>
                </c:pt>
                <c:pt idx="87">
                  <c:v>0,0261</c:v>
                </c:pt>
                <c:pt idx="88">
                  <c:v>0,0264</c:v>
                </c:pt>
                <c:pt idx="89">
                  <c:v>0,0267</c:v>
                </c:pt>
                <c:pt idx="90">
                  <c:v>0,027</c:v>
                </c:pt>
                <c:pt idx="91">
                  <c:v>0,0273</c:v>
                </c:pt>
                <c:pt idx="92">
                  <c:v>0,0276</c:v>
                </c:pt>
                <c:pt idx="93">
                  <c:v>0,0279</c:v>
                </c:pt>
                <c:pt idx="94">
                  <c:v>0,0282</c:v>
                </c:pt>
                <c:pt idx="95">
                  <c:v>0,0285</c:v>
                </c:pt>
                <c:pt idx="96">
                  <c:v>0,0288</c:v>
                </c:pt>
                <c:pt idx="97">
                  <c:v>0,0291</c:v>
                </c:pt>
                <c:pt idx="98">
                  <c:v>0,0294</c:v>
                </c:pt>
                <c:pt idx="99">
                  <c:v>0,0297</c:v>
                </c:pt>
                <c:pt idx="100">
                  <c:v>0,03</c:v>
                </c:pt>
                <c:pt idx="101">
                  <c:v>0,0303</c:v>
                </c:pt>
                <c:pt idx="102">
                  <c:v>0,0306</c:v>
                </c:pt>
                <c:pt idx="103">
                  <c:v>0,0309</c:v>
                </c:pt>
                <c:pt idx="104">
                  <c:v>0,0312</c:v>
                </c:pt>
                <c:pt idx="105">
                  <c:v>0,0315</c:v>
                </c:pt>
                <c:pt idx="106">
                  <c:v>0,0318</c:v>
                </c:pt>
                <c:pt idx="107">
                  <c:v>0,0321</c:v>
                </c:pt>
                <c:pt idx="108">
                  <c:v>0,0324</c:v>
                </c:pt>
                <c:pt idx="109">
                  <c:v>0,0327</c:v>
                </c:pt>
                <c:pt idx="110">
                  <c:v>0,033</c:v>
                </c:pt>
                <c:pt idx="111">
                  <c:v>0,0333</c:v>
                </c:pt>
                <c:pt idx="112">
                  <c:v>0,0336</c:v>
                </c:pt>
                <c:pt idx="113">
                  <c:v>0,0339</c:v>
                </c:pt>
                <c:pt idx="114">
                  <c:v>0,0342</c:v>
                </c:pt>
                <c:pt idx="115">
                  <c:v>0,0345</c:v>
                </c:pt>
                <c:pt idx="116">
                  <c:v>0,0348</c:v>
                </c:pt>
                <c:pt idx="117">
                  <c:v>0,0351</c:v>
                </c:pt>
                <c:pt idx="118">
                  <c:v>0,0354</c:v>
                </c:pt>
                <c:pt idx="119">
                  <c:v>0,0357</c:v>
                </c:pt>
                <c:pt idx="120">
                  <c:v>0,036</c:v>
                </c:pt>
                <c:pt idx="121">
                  <c:v>0,0363</c:v>
                </c:pt>
                <c:pt idx="122">
                  <c:v>0,0366</c:v>
                </c:pt>
                <c:pt idx="123">
                  <c:v>0,0369</c:v>
                </c:pt>
                <c:pt idx="124">
                  <c:v>0,0372</c:v>
                </c:pt>
                <c:pt idx="125">
                  <c:v>0,0375</c:v>
                </c:pt>
                <c:pt idx="126">
                  <c:v>0,0378</c:v>
                </c:pt>
                <c:pt idx="127">
                  <c:v>0,0381</c:v>
                </c:pt>
                <c:pt idx="128">
                  <c:v>0,0384</c:v>
                </c:pt>
                <c:pt idx="129">
                  <c:v>0,0387</c:v>
                </c:pt>
                <c:pt idx="130">
                  <c:v>0,039</c:v>
                </c:pt>
                <c:pt idx="131">
                  <c:v>0,0393</c:v>
                </c:pt>
                <c:pt idx="132">
                  <c:v>0,0396</c:v>
                </c:pt>
                <c:pt idx="133">
                  <c:v>0,0399</c:v>
                </c:pt>
                <c:pt idx="134">
                  <c:v>0,0402</c:v>
                </c:pt>
                <c:pt idx="135">
                  <c:v>0,0405</c:v>
                </c:pt>
                <c:pt idx="136">
                  <c:v>0,0408</c:v>
                </c:pt>
                <c:pt idx="137">
                  <c:v>0,0411</c:v>
                </c:pt>
                <c:pt idx="138">
                  <c:v>0,0414</c:v>
                </c:pt>
                <c:pt idx="139">
                  <c:v>0,0417</c:v>
                </c:pt>
                <c:pt idx="140">
                  <c:v>0,042</c:v>
                </c:pt>
                <c:pt idx="141">
                  <c:v>0,0423</c:v>
                </c:pt>
                <c:pt idx="142">
                  <c:v>0,0426</c:v>
                </c:pt>
                <c:pt idx="143">
                  <c:v>0,0429</c:v>
                </c:pt>
                <c:pt idx="144">
                  <c:v>0,0432</c:v>
                </c:pt>
                <c:pt idx="145">
                  <c:v>0,0435</c:v>
                </c:pt>
                <c:pt idx="146">
                  <c:v>0,0438</c:v>
                </c:pt>
                <c:pt idx="147">
                  <c:v>0,0441</c:v>
                </c:pt>
                <c:pt idx="148">
                  <c:v>0,0444</c:v>
                </c:pt>
                <c:pt idx="149">
                  <c:v>0,0447</c:v>
                </c:pt>
                <c:pt idx="150">
                  <c:v>0,045</c:v>
                </c:pt>
                <c:pt idx="151">
                  <c:v>0,0453</c:v>
                </c:pt>
                <c:pt idx="152">
                  <c:v>0,0456</c:v>
                </c:pt>
                <c:pt idx="153">
                  <c:v>0,0459</c:v>
                </c:pt>
                <c:pt idx="154">
                  <c:v>0,0462</c:v>
                </c:pt>
                <c:pt idx="155">
                  <c:v>0,0465</c:v>
                </c:pt>
                <c:pt idx="156">
                  <c:v>0,0468</c:v>
                </c:pt>
                <c:pt idx="157">
                  <c:v>0,0471</c:v>
                </c:pt>
                <c:pt idx="158">
                  <c:v>0,0474</c:v>
                </c:pt>
                <c:pt idx="159">
                  <c:v>0,0477</c:v>
                </c:pt>
                <c:pt idx="160">
                  <c:v>0,048</c:v>
                </c:pt>
                <c:pt idx="161">
                  <c:v>0,0483</c:v>
                </c:pt>
                <c:pt idx="162">
                  <c:v>0,0486</c:v>
                </c:pt>
                <c:pt idx="163">
                  <c:v>0,0489</c:v>
                </c:pt>
                <c:pt idx="164">
                  <c:v>0,0492</c:v>
                </c:pt>
                <c:pt idx="165">
                  <c:v>0,0495</c:v>
                </c:pt>
                <c:pt idx="166">
                  <c:v>0,0498</c:v>
                </c:pt>
                <c:pt idx="167">
                  <c:v>0,0501</c:v>
                </c:pt>
                <c:pt idx="168">
                  <c:v>0,0504</c:v>
                </c:pt>
                <c:pt idx="169">
                  <c:v>0,0507</c:v>
                </c:pt>
                <c:pt idx="170">
                  <c:v>0,051</c:v>
                </c:pt>
                <c:pt idx="171">
                  <c:v>0,0513</c:v>
                </c:pt>
                <c:pt idx="172">
                  <c:v>0,0516</c:v>
                </c:pt>
                <c:pt idx="173">
                  <c:v>0,0519</c:v>
                </c:pt>
                <c:pt idx="174">
                  <c:v>0,0522</c:v>
                </c:pt>
                <c:pt idx="175">
                  <c:v>0,0525</c:v>
                </c:pt>
                <c:pt idx="176">
                  <c:v>0,0528</c:v>
                </c:pt>
                <c:pt idx="177">
                  <c:v>0,0531</c:v>
                </c:pt>
                <c:pt idx="178">
                  <c:v>0,0534</c:v>
                </c:pt>
                <c:pt idx="179">
                  <c:v>0,0537</c:v>
                </c:pt>
                <c:pt idx="180">
                  <c:v>0,054</c:v>
                </c:pt>
                <c:pt idx="181">
                  <c:v>0,0543</c:v>
                </c:pt>
                <c:pt idx="182">
                  <c:v>0,0546</c:v>
                </c:pt>
                <c:pt idx="183">
                  <c:v>0,0549</c:v>
                </c:pt>
                <c:pt idx="184">
                  <c:v>0,0552</c:v>
                </c:pt>
                <c:pt idx="185">
                  <c:v>0,0555</c:v>
                </c:pt>
                <c:pt idx="186">
                  <c:v>0,0558</c:v>
                </c:pt>
                <c:pt idx="187">
                  <c:v>0,0561</c:v>
                </c:pt>
                <c:pt idx="188">
                  <c:v>0,0564</c:v>
                </c:pt>
                <c:pt idx="189">
                  <c:v>0,0567</c:v>
                </c:pt>
                <c:pt idx="190">
                  <c:v>0,057</c:v>
                </c:pt>
                <c:pt idx="191">
                  <c:v>0,0573</c:v>
                </c:pt>
                <c:pt idx="192">
                  <c:v>0,0576</c:v>
                </c:pt>
                <c:pt idx="193">
                  <c:v>0,0579</c:v>
                </c:pt>
                <c:pt idx="194">
                  <c:v>0,0582</c:v>
                </c:pt>
                <c:pt idx="195">
                  <c:v>0,0585</c:v>
                </c:pt>
                <c:pt idx="196">
                  <c:v>0,0588</c:v>
                </c:pt>
                <c:pt idx="197">
                  <c:v>0,0591</c:v>
                </c:pt>
                <c:pt idx="198">
                  <c:v>0,0594</c:v>
                </c:pt>
                <c:pt idx="199">
                  <c:v>0,0597</c:v>
                </c:pt>
                <c:pt idx="200">
                  <c:v>0,06</c:v>
                </c:pt>
                <c:pt idx="201">
                  <c:v>0,0603</c:v>
                </c:pt>
                <c:pt idx="202">
                  <c:v>0,0606</c:v>
                </c:pt>
                <c:pt idx="203">
                  <c:v>0,0609</c:v>
                </c:pt>
                <c:pt idx="204">
                  <c:v>0,0612</c:v>
                </c:pt>
                <c:pt idx="205">
                  <c:v>0,0615</c:v>
                </c:pt>
                <c:pt idx="206">
                  <c:v>0,0618</c:v>
                </c:pt>
                <c:pt idx="207">
                  <c:v>0,0621</c:v>
                </c:pt>
                <c:pt idx="208">
                  <c:v>0,0624</c:v>
                </c:pt>
                <c:pt idx="209">
                  <c:v>0,0627</c:v>
                </c:pt>
                <c:pt idx="210">
                  <c:v>0,063</c:v>
                </c:pt>
                <c:pt idx="211">
                  <c:v>0,0633</c:v>
                </c:pt>
                <c:pt idx="212">
                  <c:v>0,0636</c:v>
                </c:pt>
                <c:pt idx="213">
                  <c:v>0,0639</c:v>
                </c:pt>
                <c:pt idx="214">
                  <c:v>0,0642</c:v>
                </c:pt>
                <c:pt idx="215">
                  <c:v>0,0645</c:v>
                </c:pt>
                <c:pt idx="216">
                  <c:v>0,0648</c:v>
                </c:pt>
                <c:pt idx="217">
                  <c:v>0,0651</c:v>
                </c:pt>
                <c:pt idx="218">
                  <c:v>0,0654</c:v>
                </c:pt>
                <c:pt idx="219">
                  <c:v>0,0657</c:v>
                </c:pt>
                <c:pt idx="220">
                  <c:v>0,066</c:v>
                </c:pt>
                <c:pt idx="221">
                  <c:v>0,0663</c:v>
                </c:pt>
                <c:pt idx="222">
                  <c:v>0,0666</c:v>
                </c:pt>
                <c:pt idx="223">
                  <c:v>0,0669</c:v>
                </c:pt>
                <c:pt idx="224">
                  <c:v>0,0672</c:v>
                </c:pt>
                <c:pt idx="225">
                  <c:v>0,0675</c:v>
                </c:pt>
                <c:pt idx="226">
                  <c:v>0,0678</c:v>
                </c:pt>
                <c:pt idx="227">
                  <c:v>0,0681</c:v>
                </c:pt>
                <c:pt idx="228">
                  <c:v>0,0684</c:v>
                </c:pt>
                <c:pt idx="229">
                  <c:v>0,0687</c:v>
                </c:pt>
                <c:pt idx="230">
                  <c:v>0,069</c:v>
                </c:pt>
                <c:pt idx="231">
                  <c:v>0,0693</c:v>
                </c:pt>
                <c:pt idx="232">
                  <c:v>0,0696</c:v>
                </c:pt>
                <c:pt idx="233">
                  <c:v>0,0699</c:v>
                </c:pt>
                <c:pt idx="234">
                  <c:v>0,0702</c:v>
                </c:pt>
                <c:pt idx="235">
                  <c:v>0,0705</c:v>
                </c:pt>
                <c:pt idx="236">
                  <c:v>0,0708</c:v>
                </c:pt>
                <c:pt idx="237">
                  <c:v>0,0711</c:v>
                </c:pt>
                <c:pt idx="238">
                  <c:v>0,0714</c:v>
                </c:pt>
                <c:pt idx="239">
                  <c:v>0,0717</c:v>
                </c:pt>
                <c:pt idx="240">
                  <c:v>0,072</c:v>
                </c:pt>
                <c:pt idx="241">
                  <c:v>0,0723</c:v>
                </c:pt>
                <c:pt idx="242">
                  <c:v>0,0726</c:v>
                </c:pt>
                <c:pt idx="243">
                  <c:v>0,0729</c:v>
                </c:pt>
                <c:pt idx="244">
                  <c:v>0,0732</c:v>
                </c:pt>
                <c:pt idx="245">
                  <c:v>0,0735</c:v>
                </c:pt>
                <c:pt idx="246">
                  <c:v>0,0738</c:v>
                </c:pt>
                <c:pt idx="247">
                  <c:v>0,0741</c:v>
                </c:pt>
                <c:pt idx="248">
                  <c:v>0,0744</c:v>
                </c:pt>
                <c:pt idx="249">
                  <c:v>0,0747</c:v>
                </c:pt>
                <c:pt idx="250">
                  <c:v>0,075</c:v>
                </c:pt>
                <c:pt idx="251">
                  <c:v>0,0753</c:v>
                </c:pt>
                <c:pt idx="252">
                  <c:v>0,0756</c:v>
                </c:pt>
                <c:pt idx="253">
                  <c:v>0,0759</c:v>
                </c:pt>
                <c:pt idx="254">
                  <c:v>0,0762</c:v>
                </c:pt>
                <c:pt idx="255">
                  <c:v>0,0765</c:v>
                </c:pt>
                <c:pt idx="256">
                  <c:v>0,0768</c:v>
                </c:pt>
                <c:pt idx="257">
                  <c:v>0,0771</c:v>
                </c:pt>
                <c:pt idx="258">
                  <c:v>0,0774</c:v>
                </c:pt>
                <c:pt idx="259">
                  <c:v>0,0777</c:v>
                </c:pt>
                <c:pt idx="260">
                  <c:v>0,078</c:v>
                </c:pt>
                <c:pt idx="261">
                  <c:v>0,0783</c:v>
                </c:pt>
                <c:pt idx="262">
                  <c:v>0,0786</c:v>
                </c:pt>
                <c:pt idx="263">
                  <c:v>0,0789</c:v>
                </c:pt>
                <c:pt idx="264">
                  <c:v>0,0792</c:v>
                </c:pt>
                <c:pt idx="265">
                  <c:v>0,0795</c:v>
                </c:pt>
                <c:pt idx="266">
                  <c:v>0,0798</c:v>
                </c:pt>
                <c:pt idx="267">
                  <c:v>0,0801</c:v>
                </c:pt>
                <c:pt idx="268">
                  <c:v>0,0804</c:v>
                </c:pt>
                <c:pt idx="269">
                  <c:v>0,0807</c:v>
                </c:pt>
                <c:pt idx="270">
                  <c:v>0,081</c:v>
                </c:pt>
                <c:pt idx="271">
                  <c:v>0,0813</c:v>
                </c:pt>
                <c:pt idx="272">
                  <c:v>0,0816</c:v>
                </c:pt>
                <c:pt idx="273">
                  <c:v>0,0819</c:v>
                </c:pt>
                <c:pt idx="274">
                  <c:v>0,0822</c:v>
                </c:pt>
                <c:pt idx="275">
                  <c:v>0,0825</c:v>
                </c:pt>
                <c:pt idx="276">
                  <c:v>0,0828</c:v>
                </c:pt>
                <c:pt idx="277">
                  <c:v>0,0831</c:v>
                </c:pt>
                <c:pt idx="278">
                  <c:v>0,0834</c:v>
                </c:pt>
                <c:pt idx="279">
                  <c:v>0,0837</c:v>
                </c:pt>
                <c:pt idx="280">
                  <c:v>0,084</c:v>
                </c:pt>
                <c:pt idx="281">
                  <c:v>0,0843</c:v>
                </c:pt>
                <c:pt idx="282">
                  <c:v>0,0846</c:v>
                </c:pt>
                <c:pt idx="283">
                  <c:v>0,0849</c:v>
                </c:pt>
                <c:pt idx="284">
                  <c:v>0,0852</c:v>
                </c:pt>
                <c:pt idx="285">
                  <c:v>0,0855</c:v>
                </c:pt>
                <c:pt idx="286">
                  <c:v>0,0858</c:v>
                </c:pt>
                <c:pt idx="287">
                  <c:v>0,0861</c:v>
                </c:pt>
                <c:pt idx="288">
                  <c:v>0,0864</c:v>
                </c:pt>
                <c:pt idx="289">
                  <c:v>0,0867</c:v>
                </c:pt>
                <c:pt idx="290">
                  <c:v>0,087</c:v>
                </c:pt>
                <c:pt idx="291">
                  <c:v>0,0873</c:v>
                </c:pt>
                <c:pt idx="292">
                  <c:v>0,0876</c:v>
                </c:pt>
                <c:pt idx="293">
                  <c:v>0,0879</c:v>
                </c:pt>
                <c:pt idx="294">
                  <c:v>0,0882</c:v>
                </c:pt>
                <c:pt idx="295">
                  <c:v>0,0885</c:v>
                </c:pt>
                <c:pt idx="296">
                  <c:v>0,0888</c:v>
                </c:pt>
                <c:pt idx="297">
                  <c:v>0,0891</c:v>
                </c:pt>
                <c:pt idx="298">
                  <c:v>0,0894</c:v>
                </c:pt>
                <c:pt idx="299">
                  <c:v>0,0897</c:v>
                </c:pt>
                <c:pt idx="300">
                  <c:v>0,09</c:v>
                </c:pt>
                <c:pt idx="301">
                  <c:v>0,0903</c:v>
                </c:pt>
                <c:pt idx="302">
                  <c:v>0,0906</c:v>
                </c:pt>
                <c:pt idx="303">
                  <c:v>0,0909</c:v>
                </c:pt>
                <c:pt idx="304">
                  <c:v>0,0912</c:v>
                </c:pt>
                <c:pt idx="305">
                  <c:v>0,0915</c:v>
                </c:pt>
                <c:pt idx="306">
                  <c:v>0,0918</c:v>
                </c:pt>
                <c:pt idx="307">
                  <c:v>0,0921</c:v>
                </c:pt>
                <c:pt idx="308">
                  <c:v>0,0924</c:v>
                </c:pt>
                <c:pt idx="309">
                  <c:v>0,0927</c:v>
                </c:pt>
                <c:pt idx="310">
                  <c:v>0,093</c:v>
                </c:pt>
                <c:pt idx="311">
                  <c:v>0,0933</c:v>
                </c:pt>
                <c:pt idx="312">
                  <c:v>0,0936</c:v>
                </c:pt>
                <c:pt idx="313">
                  <c:v>0,0939</c:v>
                </c:pt>
                <c:pt idx="314">
                  <c:v>0,0942</c:v>
                </c:pt>
                <c:pt idx="315">
                  <c:v>0,0945</c:v>
                </c:pt>
                <c:pt idx="316">
                  <c:v>0,0948</c:v>
                </c:pt>
                <c:pt idx="317">
                  <c:v>0,0951</c:v>
                </c:pt>
                <c:pt idx="318">
                  <c:v>0,0954</c:v>
                </c:pt>
                <c:pt idx="319">
                  <c:v>0,0957</c:v>
                </c:pt>
                <c:pt idx="320">
                  <c:v>0,096</c:v>
                </c:pt>
                <c:pt idx="321">
                  <c:v>0,0963</c:v>
                </c:pt>
                <c:pt idx="322">
                  <c:v>0,0966</c:v>
                </c:pt>
                <c:pt idx="323">
                  <c:v>0,0969</c:v>
                </c:pt>
                <c:pt idx="324">
                  <c:v>0,0972</c:v>
                </c:pt>
                <c:pt idx="325">
                  <c:v>0,0975</c:v>
                </c:pt>
                <c:pt idx="326">
                  <c:v>0,0978</c:v>
                </c:pt>
                <c:pt idx="327">
                  <c:v>0,0981</c:v>
                </c:pt>
                <c:pt idx="328">
                  <c:v>0,0984</c:v>
                </c:pt>
                <c:pt idx="329">
                  <c:v>0,0987</c:v>
                </c:pt>
                <c:pt idx="330">
                  <c:v>0,099</c:v>
                </c:pt>
                <c:pt idx="331">
                  <c:v>0,0993</c:v>
                </c:pt>
                <c:pt idx="332">
                  <c:v>0,0996</c:v>
                </c:pt>
                <c:pt idx="333">
                  <c:v>0,0999</c:v>
                </c:pt>
                <c:pt idx="334">
                  <c:v>0,1002</c:v>
                </c:pt>
                <c:pt idx="335">
                  <c:v>0,1005</c:v>
                </c:pt>
                <c:pt idx="336">
                  <c:v>0,1008</c:v>
                </c:pt>
                <c:pt idx="337">
                  <c:v>0,1011</c:v>
                </c:pt>
                <c:pt idx="338">
                  <c:v>0,1014</c:v>
                </c:pt>
                <c:pt idx="339">
                  <c:v>0,1017</c:v>
                </c:pt>
                <c:pt idx="340">
                  <c:v>0,102</c:v>
                </c:pt>
                <c:pt idx="341">
                  <c:v>0,1023</c:v>
                </c:pt>
                <c:pt idx="342">
                  <c:v>0,1026</c:v>
                </c:pt>
                <c:pt idx="343">
                  <c:v>0,1029</c:v>
                </c:pt>
                <c:pt idx="344">
                  <c:v>0,1032</c:v>
                </c:pt>
                <c:pt idx="345">
                  <c:v>0,1035</c:v>
                </c:pt>
                <c:pt idx="346">
                  <c:v>0,1038</c:v>
                </c:pt>
                <c:pt idx="347">
                  <c:v>0,1041</c:v>
                </c:pt>
                <c:pt idx="348">
                  <c:v>0,1044</c:v>
                </c:pt>
                <c:pt idx="349">
                  <c:v>0,1047</c:v>
                </c:pt>
                <c:pt idx="350">
                  <c:v>0,105</c:v>
                </c:pt>
                <c:pt idx="351">
                  <c:v>0,1053</c:v>
                </c:pt>
                <c:pt idx="352">
                  <c:v>0,1056</c:v>
                </c:pt>
                <c:pt idx="353">
                  <c:v>0,1059</c:v>
                </c:pt>
                <c:pt idx="354">
                  <c:v>0,1062</c:v>
                </c:pt>
                <c:pt idx="355">
                  <c:v>0,1065</c:v>
                </c:pt>
                <c:pt idx="356">
                  <c:v>0,1068</c:v>
                </c:pt>
                <c:pt idx="357">
                  <c:v>0,1071</c:v>
                </c:pt>
                <c:pt idx="358">
                  <c:v>0,1074</c:v>
                </c:pt>
                <c:pt idx="359">
                  <c:v>0,1077</c:v>
                </c:pt>
                <c:pt idx="360">
                  <c:v>0,108</c:v>
                </c:pt>
                <c:pt idx="361">
                  <c:v>0,1083</c:v>
                </c:pt>
                <c:pt idx="362">
                  <c:v>0,1086</c:v>
                </c:pt>
                <c:pt idx="363">
                  <c:v>0,1089</c:v>
                </c:pt>
                <c:pt idx="364">
                  <c:v>0,1092</c:v>
                </c:pt>
                <c:pt idx="365">
                  <c:v>0,1095</c:v>
                </c:pt>
                <c:pt idx="366">
                  <c:v>0,1098</c:v>
                </c:pt>
                <c:pt idx="367">
                  <c:v>0,1101</c:v>
                </c:pt>
                <c:pt idx="368">
                  <c:v>0,1104</c:v>
                </c:pt>
                <c:pt idx="369">
                  <c:v>0,1107</c:v>
                </c:pt>
                <c:pt idx="370">
                  <c:v>0,111</c:v>
                </c:pt>
                <c:pt idx="371">
                  <c:v>0,1113</c:v>
                </c:pt>
                <c:pt idx="372">
                  <c:v>0,1116</c:v>
                </c:pt>
                <c:pt idx="373">
                  <c:v>0,1119</c:v>
                </c:pt>
                <c:pt idx="374">
                  <c:v>0,1122</c:v>
                </c:pt>
                <c:pt idx="375">
                  <c:v>0,1125</c:v>
                </c:pt>
                <c:pt idx="376">
                  <c:v>0,1128</c:v>
                </c:pt>
                <c:pt idx="377">
                  <c:v>0,1131</c:v>
                </c:pt>
                <c:pt idx="378">
                  <c:v>0,1134</c:v>
                </c:pt>
                <c:pt idx="379">
                  <c:v>0,1137</c:v>
                </c:pt>
                <c:pt idx="380">
                  <c:v>0,114</c:v>
                </c:pt>
                <c:pt idx="381">
                  <c:v>0,1143</c:v>
                </c:pt>
                <c:pt idx="382">
                  <c:v>0,1146</c:v>
                </c:pt>
                <c:pt idx="383">
                  <c:v>0,1149</c:v>
                </c:pt>
                <c:pt idx="384">
                  <c:v>0,1152</c:v>
                </c:pt>
                <c:pt idx="385">
                  <c:v>0,1155</c:v>
                </c:pt>
                <c:pt idx="386">
                  <c:v>0,1158</c:v>
                </c:pt>
                <c:pt idx="387">
                  <c:v>0,1161</c:v>
                </c:pt>
                <c:pt idx="388">
                  <c:v>0,1164</c:v>
                </c:pt>
                <c:pt idx="389">
                  <c:v>0,1167</c:v>
                </c:pt>
                <c:pt idx="390">
                  <c:v>0,117</c:v>
                </c:pt>
                <c:pt idx="391">
                  <c:v>0,1173</c:v>
                </c:pt>
                <c:pt idx="392">
                  <c:v>0,1176</c:v>
                </c:pt>
                <c:pt idx="393">
                  <c:v>0,1179</c:v>
                </c:pt>
                <c:pt idx="394">
                  <c:v>0,1182</c:v>
                </c:pt>
                <c:pt idx="395">
                  <c:v>0,1185</c:v>
                </c:pt>
                <c:pt idx="396">
                  <c:v>0,1188</c:v>
                </c:pt>
                <c:pt idx="397">
                  <c:v>0,1191</c:v>
                </c:pt>
                <c:pt idx="398">
                  <c:v>0,1194</c:v>
                </c:pt>
                <c:pt idx="399">
                  <c:v>0,1197</c:v>
                </c:pt>
                <c:pt idx="400">
                  <c:v>0,12</c:v>
                </c:pt>
                <c:pt idx="401">
                  <c:v>0,1203</c:v>
                </c:pt>
                <c:pt idx="402">
                  <c:v>0,1206</c:v>
                </c:pt>
                <c:pt idx="403">
                  <c:v>0,1209</c:v>
                </c:pt>
                <c:pt idx="404">
                  <c:v>0,1212</c:v>
                </c:pt>
                <c:pt idx="405">
                  <c:v>0,1215</c:v>
                </c:pt>
                <c:pt idx="406">
                  <c:v>0,1218</c:v>
                </c:pt>
                <c:pt idx="407">
                  <c:v>0,1221</c:v>
                </c:pt>
                <c:pt idx="408">
                  <c:v>0,1224</c:v>
                </c:pt>
                <c:pt idx="409">
                  <c:v>0,1227</c:v>
                </c:pt>
                <c:pt idx="410">
                  <c:v>0,123</c:v>
                </c:pt>
                <c:pt idx="411">
                  <c:v>0,1233</c:v>
                </c:pt>
                <c:pt idx="412">
                  <c:v>0,1236</c:v>
                </c:pt>
                <c:pt idx="413">
                  <c:v>0,1239</c:v>
                </c:pt>
                <c:pt idx="414">
                  <c:v>0,1242</c:v>
                </c:pt>
                <c:pt idx="415">
                  <c:v>0,1245</c:v>
                </c:pt>
                <c:pt idx="416">
                  <c:v>0,1248</c:v>
                </c:pt>
                <c:pt idx="417">
                  <c:v>0,1251</c:v>
                </c:pt>
                <c:pt idx="418">
                  <c:v>0,1254</c:v>
                </c:pt>
                <c:pt idx="419">
                  <c:v>0,1257</c:v>
                </c:pt>
                <c:pt idx="420">
                  <c:v>0,126</c:v>
                </c:pt>
                <c:pt idx="421">
                  <c:v>0,1263</c:v>
                </c:pt>
                <c:pt idx="422">
                  <c:v>0,1266</c:v>
                </c:pt>
                <c:pt idx="423">
                  <c:v>0,1269</c:v>
                </c:pt>
                <c:pt idx="424">
                  <c:v>0,1272</c:v>
                </c:pt>
                <c:pt idx="425">
                  <c:v>0,1275</c:v>
                </c:pt>
                <c:pt idx="426">
                  <c:v>0,1278</c:v>
                </c:pt>
                <c:pt idx="427">
                  <c:v>0,1281</c:v>
                </c:pt>
                <c:pt idx="428">
                  <c:v>0,1284</c:v>
                </c:pt>
                <c:pt idx="429">
                  <c:v>0,1287</c:v>
                </c:pt>
                <c:pt idx="430">
                  <c:v>0,129</c:v>
                </c:pt>
                <c:pt idx="431">
                  <c:v>0,1293</c:v>
                </c:pt>
                <c:pt idx="432">
                  <c:v>0,1296</c:v>
                </c:pt>
                <c:pt idx="433">
                  <c:v>0,1299</c:v>
                </c:pt>
                <c:pt idx="434">
                  <c:v>0,1302</c:v>
                </c:pt>
                <c:pt idx="435">
                  <c:v>0,1305</c:v>
                </c:pt>
                <c:pt idx="436">
                  <c:v>0,1308</c:v>
                </c:pt>
                <c:pt idx="437">
                  <c:v>0,1311</c:v>
                </c:pt>
                <c:pt idx="438">
                  <c:v>0,1314</c:v>
                </c:pt>
                <c:pt idx="439">
                  <c:v>0,1317</c:v>
                </c:pt>
                <c:pt idx="440">
                  <c:v>0,132</c:v>
                </c:pt>
                <c:pt idx="441">
                  <c:v>0,1323</c:v>
                </c:pt>
                <c:pt idx="442">
                  <c:v>0,1326</c:v>
                </c:pt>
                <c:pt idx="443">
                  <c:v>0,1329</c:v>
                </c:pt>
                <c:pt idx="444">
                  <c:v>0,1332</c:v>
                </c:pt>
                <c:pt idx="445">
                  <c:v>0,1335</c:v>
                </c:pt>
                <c:pt idx="446">
                  <c:v>0,1338</c:v>
                </c:pt>
                <c:pt idx="447">
                  <c:v>0,1341</c:v>
                </c:pt>
                <c:pt idx="448">
                  <c:v>0,1344</c:v>
                </c:pt>
                <c:pt idx="449">
                  <c:v>0,1347</c:v>
                </c:pt>
                <c:pt idx="450">
                  <c:v>0,135</c:v>
                </c:pt>
                <c:pt idx="451">
                  <c:v>0,1353</c:v>
                </c:pt>
                <c:pt idx="452">
                  <c:v>0,1356</c:v>
                </c:pt>
                <c:pt idx="453">
                  <c:v>0,1359</c:v>
                </c:pt>
                <c:pt idx="454">
                  <c:v>0,1362</c:v>
                </c:pt>
                <c:pt idx="455">
                  <c:v>0,1365</c:v>
                </c:pt>
                <c:pt idx="456">
                  <c:v>0,1368</c:v>
                </c:pt>
                <c:pt idx="457">
                  <c:v>0,1371</c:v>
                </c:pt>
                <c:pt idx="458">
                  <c:v>0,1374</c:v>
                </c:pt>
                <c:pt idx="459">
                  <c:v>0,1377</c:v>
                </c:pt>
                <c:pt idx="460">
                  <c:v>0,138</c:v>
                </c:pt>
                <c:pt idx="461">
                  <c:v>0,1383</c:v>
                </c:pt>
                <c:pt idx="462">
                  <c:v>0,1386</c:v>
                </c:pt>
                <c:pt idx="463">
                  <c:v>0,1389</c:v>
                </c:pt>
                <c:pt idx="464">
                  <c:v>0,1392</c:v>
                </c:pt>
                <c:pt idx="465">
                  <c:v>0,1395</c:v>
                </c:pt>
                <c:pt idx="466">
                  <c:v>0,1398</c:v>
                </c:pt>
                <c:pt idx="467">
                  <c:v>0,1401</c:v>
                </c:pt>
                <c:pt idx="468">
                  <c:v>0,1404</c:v>
                </c:pt>
                <c:pt idx="469">
                  <c:v>0,1407</c:v>
                </c:pt>
                <c:pt idx="470">
                  <c:v>0,141</c:v>
                </c:pt>
                <c:pt idx="471">
                  <c:v>0,1413</c:v>
                </c:pt>
                <c:pt idx="472">
                  <c:v>0,1416</c:v>
                </c:pt>
                <c:pt idx="473">
                  <c:v>0,1419</c:v>
                </c:pt>
                <c:pt idx="474">
                  <c:v>0,1422</c:v>
                </c:pt>
                <c:pt idx="475">
                  <c:v>0,1425</c:v>
                </c:pt>
                <c:pt idx="476">
                  <c:v>0,1428</c:v>
                </c:pt>
                <c:pt idx="477">
                  <c:v>0,1431</c:v>
                </c:pt>
                <c:pt idx="478">
                  <c:v>0,1434</c:v>
                </c:pt>
                <c:pt idx="479">
                  <c:v>0,1437</c:v>
                </c:pt>
                <c:pt idx="480">
                  <c:v>0,144</c:v>
                </c:pt>
                <c:pt idx="481">
                  <c:v>0,1443</c:v>
                </c:pt>
                <c:pt idx="482">
                  <c:v>0,1446</c:v>
                </c:pt>
                <c:pt idx="483">
                  <c:v>0,1449</c:v>
                </c:pt>
                <c:pt idx="484">
                  <c:v>0,1452</c:v>
                </c:pt>
                <c:pt idx="485">
                  <c:v>0,1455</c:v>
                </c:pt>
                <c:pt idx="486">
                  <c:v>0,1458</c:v>
                </c:pt>
                <c:pt idx="487">
                  <c:v>0,1461</c:v>
                </c:pt>
                <c:pt idx="488">
                  <c:v>0,1464</c:v>
                </c:pt>
                <c:pt idx="489">
                  <c:v>0,1467</c:v>
                </c:pt>
                <c:pt idx="490">
                  <c:v>0,147</c:v>
                </c:pt>
                <c:pt idx="491">
                  <c:v>0,1473</c:v>
                </c:pt>
                <c:pt idx="492">
                  <c:v>0,1476</c:v>
                </c:pt>
                <c:pt idx="493">
                  <c:v>0,1479</c:v>
                </c:pt>
                <c:pt idx="494">
                  <c:v>0,1482</c:v>
                </c:pt>
                <c:pt idx="495">
                  <c:v>0,1485</c:v>
                </c:pt>
                <c:pt idx="496">
                  <c:v>0,1488</c:v>
                </c:pt>
                <c:pt idx="497">
                  <c:v>0,1491</c:v>
                </c:pt>
                <c:pt idx="498">
                  <c:v>0,1494</c:v>
                </c:pt>
                <c:pt idx="499">
                  <c:v>0,1497</c:v>
                </c:pt>
                <c:pt idx="500">
                  <c:v>0,15</c:v>
                </c:pt>
              </c:strCache>
            </c:strRef>
          </c:xVal>
          <c:yVal>
            <c:numRef>
              <c:f>wyniki!$B:$B</c:f>
              <c:numCache>
                <c:formatCode>General</c:formatCode>
                <c:ptCount val="1048576"/>
                <c:pt idx="0">
                  <c:v>0</c:v>
                </c:pt>
                <c:pt idx="1">
                  <c:v>-4.3396515519668707E-2</c:v>
                </c:pt>
                <c:pt idx="2">
                  <c:v>-4.3382536414615536E-2</c:v>
                </c:pt>
                <c:pt idx="3">
                  <c:v>-4.3359471565314285E-2</c:v>
                </c:pt>
                <c:pt idx="4">
                  <c:v>-4.332732196371257E-2</c:v>
                </c:pt>
                <c:pt idx="5">
                  <c:v>-4.3286088992465048E-2</c:v>
                </c:pt>
                <c:pt idx="6">
                  <c:v>-4.3235774424873911E-2</c:v>
                </c:pt>
                <c:pt idx="7">
                  <c:v>-4.3176380424812692E-2</c:v>
                </c:pt>
                <c:pt idx="8">
                  <c:v>-4.3107909546633086E-2</c:v>
                </c:pt>
                <c:pt idx="9">
                  <c:v>-4.303036473505522E-2</c:v>
                </c:pt>
                <c:pt idx="10">
                  <c:v>-4.2943749325040914E-2</c:v>
                </c:pt>
                <c:pt idx="11">
                  <c:v>-4.2848067041650312E-2</c:v>
                </c:pt>
                <c:pt idx="12">
                  <c:v>-4.2743321999881657E-2</c:v>
                </c:pt>
                <c:pt idx="13">
                  <c:v>-4.2629518704494315E-2</c:v>
                </c:pt>
                <c:pt idx="14">
                  <c:v>-4.2506662049815055E-2</c:v>
                </c:pt>
                <c:pt idx="15">
                  <c:v>-4.2374757319527563E-2</c:v>
                </c:pt>
                <c:pt idx="16">
                  <c:v>-4.2233810186445155E-2</c:v>
                </c:pt>
                <c:pt idx="17">
                  <c:v>-4.2083826712266889E-2</c:v>
                </c:pt>
                <c:pt idx="18">
                  <c:v>-4.1924813347316799E-2</c:v>
                </c:pt>
                <c:pt idx="19">
                  <c:v>-4.1756776930266491E-2</c:v>
                </c:pt>
                <c:pt idx="20">
                  <c:v>-4.1579724687841116E-2</c:v>
                </c:pt>
                <c:pt idx="21">
                  <c:v>-4.1393664234508479E-2</c:v>
                </c:pt>
                <c:pt idx="22">
                  <c:v>-4.119860357215159E-2</c:v>
                </c:pt>
                <c:pt idx="23">
                  <c:v>-4.0994551089724524E-2</c:v>
                </c:pt>
                <c:pt idx="24">
                  <c:v>-4.0781515562891696E-2</c:v>
                </c:pt>
                <c:pt idx="25">
                  <c:v>-4.0559506153650338E-2</c:v>
                </c:pt>
                <c:pt idx="26">
                  <c:v>-4.0328532409936606E-2</c:v>
                </c:pt>
                <c:pt idx="27">
                  <c:v>-4.0088604265214808E-2</c:v>
                </c:pt>
                <c:pt idx="28">
                  <c:v>-3.9839732038050302E-2</c:v>
                </c:pt>
                <c:pt idx="29">
                  <c:v>-3.9581926431665665E-2</c:v>
                </c:pt>
                <c:pt idx="30">
                  <c:v>-3.931519853348045E-2</c:v>
                </c:pt>
                <c:pt idx="31">
                  <c:v>-3.9039559814634264E-2</c:v>
                </c:pt>
                <c:pt idx="32">
                  <c:v>-3.8755022129493513E-2</c:v>
                </c:pt>
                <c:pt idx="33">
                  <c:v>-3.8461597715141495E-2</c:v>
                </c:pt>
                <c:pt idx="34">
                  <c:v>-3.815929919085221E-2</c:v>
                </c:pt>
                <c:pt idx="35">
                  <c:v>-3.7848139557547567E-2</c:v>
                </c:pt>
                <c:pt idx="36">
                  <c:v>-3.7528132197238342E-2</c:v>
                </c:pt>
                <c:pt idx="37">
                  <c:v>-3.7199290872448547E-2</c:v>
                </c:pt>
                <c:pt idx="38">
                  <c:v>-3.6861629725623658E-2</c:v>
                </c:pt>
                <c:pt idx="39">
                  <c:v>-3.6515163278522313E-2</c:v>
                </c:pt>
                <c:pt idx="40">
                  <c:v>-3.6159906431591803E-2</c:v>
                </c:pt>
                <c:pt idx="41">
                  <c:v>-3.579587446332725E-2</c:v>
                </c:pt>
                <c:pt idx="42">
                  <c:v>-3.5423083029614555E-2</c:v>
                </c:pt>
                <c:pt idx="43">
                  <c:v>-3.5041548163057053E-2</c:v>
                </c:pt>
                <c:pt idx="44">
                  <c:v>-3.4651286272285961E-2</c:v>
                </c:pt>
                <c:pt idx="45">
                  <c:v>-3.4252314141254805E-2</c:v>
                </c:pt>
                <c:pt idx="46">
                  <c:v>-3.3844648928517497E-2</c:v>
                </c:pt>
                <c:pt idx="47">
                  <c:v>-3.3428308166490436E-2</c:v>
                </c:pt>
                <c:pt idx="48">
                  <c:v>-3.3003309760698485E-2</c:v>
                </c:pt>
                <c:pt idx="49">
                  <c:v>-3.2569671989004893E-2</c:v>
                </c:pt>
                <c:pt idx="50">
                  <c:v>-3.2127413500825285E-2</c:v>
                </c:pt>
                <c:pt idx="51">
                  <c:v>-3.1676553316325538E-2</c:v>
                </c:pt>
                <c:pt idx="52">
                  <c:v>-3.12171108256038E-2</c:v>
                </c:pt>
                <c:pt idx="53">
                  <c:v>-3.0749105787856605E-2</c:v>
                </c:pt>
                <c:pt idx="54">
                  <c:v>-3.0272558330529078E-2</c:v>
                </c:pt>
                <c:pt idx="55">
                  <c:v>-2.9787488948449313E-2</c:v>
                </c:pt>
                <c:pt idx="56">
                  <c:v>-2.929391850294695E-2</c:v>
                </c:pt>
                <c:pt idx="57">
                  <c:v>-2.8791868220956012E-2</c:v>
                </c:pt>
                <c:pt idx="58">
                  <c:v>-2.828135969410198E-2</c:v>
                </c:pt>
                <c:pt idx="59">
                  <c:v>-2.7762414877773218E-2</c:v>
                </c:pt>
                <c:pt idx="60">
                  <c:v>-2.7235056090176731E-2</c:v>
                </c:pt>
                <c:pt idx="61">
                  <c:v>-2.6699306011378321E-2</c:v>
                </c:pt>
                <c:pt idx="62">
                  <c:v>-2.6155187682327222E-2</c:v>
                </c:pt>
                <c:pt idx="63">
                  <c:v>-2.5602724503865144E-2</c:v>
                </c:pt>
                <c:pt idx="64">
                  <c:v>-2.504194023571988E-2</c:v>
                </c:pt>
                <c:pt idx="65">
                  <c:v>-2.4472858995483494E-2</c:v>
                </c:pt>
                <c:pt idx="66">
                  <c:v>-2.3895505257575084E-2</c:v>
                </c:pt>
                <c:pt idx="67">
                  <c:v>-2.3309903852188205E-2</c:v>
                </c:pt>
                <c:pt idx="68">
                  <c:v>-2.2716079964223028E-2</c:v>
                </c:pt>
                <c:pt idx="69">
                  <c:v>-2.2114059132203184E-2</c:v>
                </c:pt>
                <c:pt idx="70">
                  <c:v>-2.1503867247177445E-2</c:v>
                </c:pt>
                <c:pt idx="71">
                  <c:v>-2.0885530551606225E-2</c:v>
                </c:pt>
                <c:pt idx="72">
                  <c:v>-2.0259075638232989E-2</c:v>
                </c:pt>
                <c:pt idx="73">
                  <c:v>-1.962452944894057E-2</c:v>
                </c:pt>
                <c:pt idx="74">
                  <c:v>-1.8981919273592478E-2</c:v>
                </c:pt>
                <c:pt idx="75">
                  <c:v>-1.8331272748859248E-2</c:v>
                </c:pt>
                <c:pt idx="76">
                  <c:v>-1.767261785702989E-2</c:v>
                </c:pt>
                <c:pt idx="77">
                  <c:v>-1.700598292480842E-2</c:v>
                </c:pt>
                <c:pt idx="78">
                  <c:v>-1.6331396622095672E-2</c:v>
                </c:pt>
                <c:pt idx="79">
                  <c:v>-1.5648887960756232E-2</c:v>
                </c:pt>
                <c:pt idx="80">
                  <c:v>-1.4958486293370791E-2</c:v>
                </c:pt>
                <c:pt idx="81">
                  <c:v>-1.4260221311973726E-2</c:v>
                </c:pt>
                <c:pt idx="82">
                  <c:v>-1.3554123046776166E-2</c:v>
                </c:pt>
                <c:pt idx="83">
                  <c:v>-1.2840221864874482E-2</c:v>
                </c:pt>
                <c:pt idx="84">
                  <c:v>-1.2118548468944286E-2</c:v>
                </c:pt>
                <c:pt idx="85">
                  <c:v>-1.1389133895920027E-2</c:v>
                </c:pt>
                <c:pt idx="86">
                  <c:v>-1.0652009515660149E-2</c:v>
                </c:pt>
                <c:pt idx="87">
                  <c:v>-9.9072070295980058E-3</c:v>
                </c:pt>
                <c:pt idx="88">
                  <c:v>-9.1547584693784673E-3</c:v>
                </c:pt>
                <c:pt idx="89">
                  <c:v>-8.3946961954803299E-3</c:v>
                </c:pt>
                <c:pt idx="90">
                  <c:v>-7.6270528958246025E-3</c:v>
                </c:pt>
                <c:pt idx="91">
                  <c:v>-6.8518615843687096E-3</c:v>
                </c:pt>
                <c:pt idx="92">
                  <c:v>-6.0691555996866403E-3</c:v>
                </c:pt>
                <c:pt idx="93">
                  <c:v>-5.278968603535176E-3</c:v>
                </c:pt>
                <c:pt idx="94">
                  <c:v>-4.481334579406201E-3</c:v>
                </c:pt>
                <c:pt idx="95">
                  <c:v>-3.676287831065174E-3</c:v>
                </c:pt>
                <c:pt idx="96">
                  <c:v>-2.8638629810758287E-3</c:v>
                </c:pt>
                <c:pt idx="97">
                  <c:v>-2.0440949693111689E-3</c:v>
                </c:pt>
                <c:pt idx="98">
                  <c:v>-1.2170190514508106E-3</c:v>
                </c:pt>
                <c:pt idx="99">
                  <c:v>-3.8270190176670649E-4</c:v>
                </c:pt>
                <c:pt idx="100">
                  <c:v>4.5553374351790468E-4</c:v>
                </c:pt>
                <c:pt idx="101">
                  <c:v>1.2892410004675869E-3</c:v>
                </c:pt>
                <c:pt idx="102">
                  <c:v>2.1156820574416324E-3</c:v>
                </c:pt>
                <c:pt idx="103">
                  <c:v>2.9348121295813519E-3</c:v>
                </c:pt>
                <c:pt idx="104">
                  <c:v>3.7465959886429341E-3</c:v>
                </c:pt>
                <c:pt idx="105">
                  <c:v>4.5509987223204063E-3</c:v>
                </c:pt>
                <c:pt idx="106">
                  <c:v>5.347985735747106E-3</c:v>
                </c:pt>
                <c:pt idx="107">
                  <c:v>6.1375227529835005E-3</c:v>
                </c:pt>
                <c:pt idx="108">
                  <c:v>6.9195758184912833E-3</c:v>
                </c:pt>
                <c:pt idx="109">
                  <c:v>7.6941112985937027E-3</c:v>
                </c:pt>
                <c:pt idx="110">
                  <c:v>8.4610958829220376E-3</c:v>
                </c:pt>
                <c:pt idx="111">
                  <c:v>9.220496585848172E-3</c:v>
                </c:pt>
                <c:pt idx="112">
                  <c:v>9.9722807479032116E-3</c:v>
                </c:pt>
                <c:pt idx="113">
                  <c:v>1.0716416037182057E-2</c:v>
                </c:pt>
                <c:pt idx="114">
                  <c:v>1.1452870450733909E-2</c:v>
                </c:pt>
                <c:pt idx="115">
                  <c:v>1.2181612315938605E-2</c:v>
                </c:pt>
                <c:pt idx="116">
                  <c:v>1.2902610291868771E-2</c:v>
                </c:pt>
                <c:pt idx="117">
                  <c:v>1.3615833370637688E-2</c:v>
                </c:pt>
                <c:pt idx="118">
                  <c:v>1.4321250878732849E-2</c:v>
                </c:pt>
                <c:pt idx="119">
                  <c:v>1.5018832478335138E-2</c:v>
                </c:pt>
                <c:pt idx="120">
                  <c:v>1.5708548168623552E-2</c:v>
                </c:pt>
                <c:pt idx="121">
                  <c:v>1.6390368287065464E-2</c:v>
                </c:pt>
                <c:pt idx="122">
                  <c:v>1.7064263510692287E-2</c:v>
                </c:pt>
                <c:pt idx="123">
                  <c:v>1.7730204857360585E-2</c:v>
                </c:pt>
                <c:pt idx="124">
                  <c:v>1.8388163686998506E-2</c:v>
                </c:pt>
                <c:pt idx="125">
                  <c:v>1.9038111702837496E-2</c:v>
                </c:pt>
                <c:pt idx="126">
                  <c:v>1.9680020952629256E-2</c:v>
                </c:pt>
                <c:pt idx="127">
                  <c:v>2.0313863829847876E-2</c:v>
                </c:pt>
                <c:pt idx="128">
                  <c:v>2.0939613074877114E-2</c:v>
                </c:pt>
                <c:pt idx="129">
                  <c:v>2.1557241776182762E-2</c:v>
                </c:pt>
                <c:pt idx="130">
                  <c:v>2.2166723371469979E-2</c:v>
                </c:pt>
                <c:pt idx="131">
                  <c:v>2.2768031648825723E-2</c:v>
                </c:pt>
                <c:pt idx="132">
                  <c:v>2.3361140747845972E-2</c:v>
                </c:pt>
                <c:pt idx="133">
                  <c:v>2.3946025160747939E-2</c:v>
                </c:pt>
                <c:pt idx="134">
                  <c:v>2.4522659733467102E-2</c:v>
                </c:pt>
                <c:pt idx="135">
                  <c:v>2.5091019666738965E-2</c:v>
                </c:pt>
                <c:pt idx="136">
                  <c:v>2.5651080517165591E-2</c:v>
                </c:pt>
                <c:pt idx="137">
                  <c:v>2.6202818198266892E-2</c:v>
                </c:pt>
                <c:pt idx="138">
                  <c:v>2.6746208981516442E-2</c:v>
                </c:pt>
                <c:pt idx="139">
                  <c:v>2.7281229497362027E-2</c:v>
                </c:pt>
                <c:pt idx="140">
                  <c:v>2.7807856736230662E-2</c:v>
                </c:pt>
                <c:pt idx="141">
                  <c:v>2.8326068049518184E-2</c:v>
                </c:pt>
                <c:pt idx="142">
                  <c:v>2.8835841150563278E-2</c:v>
                </c:pt>
                <c:pt idx="143">
                  <c:v>2.9337154115605956E-2</c:v>
                </c:pt>
                <c:pt idx="144">
                  <c:v>2.9829985384730459E-2</c:v>
                </c:pt>
                <c:pt idx="145">
                  <c:v>3.031431376279245E-2</c:v>
                </c:pt>
                <c:pt idx="146">
                  <c:v>3.0790118420330567E-2</c:v>
                </c:pt>
                <c:pt idx="147">
                  <c:v>3.1257378894462229E-2</c:v>
                </c:pt>
                <c:pt idx="148">
                  <c:v>3.17160750897637E-2</c:v>
                </c:pt>
                <c:pt idx="149">
                  <c:v>3.2166187279134298E-2</c:v>
                </c:pt>
                <c:pt idx="150">
                  <c:v>3.2607696104644791E-2</c:v>
                </c:pt>
                <c:pt idx="151">
                  <c:v>3.3040582578369969E-2</c:v>
                </c:pt>
                <c:pt idx="152">
                  <c:v>3.3464828083205257E-2</c:v>
                </c:pt>
                <c:pt idx="153">
                  <c:v>3.3880414373667289E-2</c:v>
                </c:pt>
                <c:pt idx="154">
                  <c:v>3.4287323576678699E-2</c:v>
                </c:pt>
                <c:pt idx="155">
                  <c:v>3.4685538192336718E-2</c:v>
                </c:pt>
                <c:pt idx="156">
                  <c:v>3.5075041094665804E-2</c:v>
                </c:pt>
                <c:pt idx="157">
                  <c:v>3.5455815532354232E-2</c:v>
                </c:pt>
                <c:pt idx="158">
                  <c:v>3.5827845129474414E-2</c:v>
                </c:pt>
                <c:pt idx="159">
                  <c:v>3.6191113886187253E-2</c:v>
                </c:pt>
                <c:pt idx="160">
                  <c:v>3.6545606179430222E-2</c:v>
                </c:pt>
                <c:pt idx="161">
                  <c:v>3.6891306763589295E-2</c:v>
                </c:pt>
                <c:pt idx="162">
                  <c:v>3.7228200771154553E-2</c:v>
                </c:pt>
                <c:pt idx="163">
                  <c:v>3.7556273713359643E-2</c:v>
                </c:pt>
                <c:pt idx="164">
                  <c:v>3.7875511480804848E-2</c:v>
                </c:pt>
                <c:pt idx="165">
                  <c:v>3.8185900344063925E-2</c:v>
                </c:pt>
                <c:pt idx="166">
                  <c:v>3.8487426954274553E-2</c:v>
                </c:pt>
                <c:pt idx="167">
                  <c:v>3.878007834371245E-2</c:v>
                </c:pt>
                <c:pt idx="168">
                  <c:v>3.9063841926349041E-2</c:v>
                </c:pt>
                <c:pt idx="169">
                  <c:v>3.9338705498392738E-2</c:v>
                </c:pt>
                <c:pt idx="170">
                  <c:v>3.960465723881381E-2</c:v>
                </c:pt>
                <c:pt idx="171">
                  <c:v>3.9861685709852795E-2</c:v>
                </c:pt>
                <c:pt idx="172">
                  <c:v>4.0109779857512316E-2</c:v>
                </c:pt>
                <c:pt idx="173">
                  <c:v>4.0348929012032596E-2</c:v>
                </c:pt>
                <c:pt idx="174">
                  <c:v>4.0579122888350201E-2</c:v>
                </c:pt>
                <c:pt idx="175">
                  <c:v>4.0800351586540509E-2</c:v>
                </c:pt>
                <c:pt idx="176">
                  <c:v>4.1012605592243345E-2</c:v>
                </c:pt>
                <c:pt idx="177">
                  <c:v>4.121587577707226E-2</c:v>
                </c:pt>
                <c:pt idx="178">
                  <c:v>4.1410153399007048E-2</c:v>
                </c:pt>
                <c:pt idx="179">
                  <c:v>4.1595430102769747E-2</c:v>
                </c:pt>
                <c:pt idx="180">
                  <c:v>4.1771697920184002E-2</c:v>
                </c:pt>
                <c:pt idx="181">
                  <c:v>4.1938949270517667E-2</c:v>
                </c:pt>
                <c:pt idx="182">
                  <c:v>4.2097176960808926E-2</c:v>
                </c:pt>
                <c:pt idx="183">
                  <c:v>4.2246374186175578E-2</c:v>
                </c:pt>
                <c:pt idx="184">
                  <c:v>4.2386534530107683E-2</c:v>
                </c:pt>
                <c:pt idx="185">
                  <c:v>4.2517651964743587E-2</c:v>
                </c:pt>
                <c:pt idx="186">
                  <c:v>4.263972085112909E-2</c:v>
                </c:pt>
                <c:pt idx="187">
                  <c:v>4.275273593946001E-2</c:v>
                </c:pt>
                <c:pt idx="188">
                  <c:v>4.2856692369307899E-2</c:v>
                </c:pt>
                <c:pt idx="189">
                  <c:v>4.2951585669829144E-2</c:v>
                </c:pt>
                <c:pt idx="190">
                  <c:v>4.303741175995722E-2</c:v>
                </c:pt>
                <c:pt idx="191">
                  <c:v>4.3114166948578163E-2</c:v>
                </c:pt>
                <c:pt idx="192">
                  <c:v>4.3181847934689398E-2</c:v>
                </c:pt>
                <c:pt idx="193">
                  <c:v>4.3240451807541595E-2</c:v>
                </c:pt>
                <c:pt idx="194">
                  <c:v>4.3289976046763969E-2</c:v>
                </c:pt>
                <c:pt idx="195">
                  <c:v>4.3330418522472609E-2</c:v>
                </c:pt>
                <c:pt idx="196">
                  <c:v>4.3361777495362047E-2</c:v>
                </c:pt>
                <c:pt idx="197">
                  <c:v>4.3384051616780127E-2</c:v>
                </c:pt>
                <c:pt idx="198">
                  <c:v>4.339723992878599E-2</c:v>
                </c:pt>
                <c:pt idx="199">
                  <c:v>4.3401341864191208E-2</c:v>
                </c:pt>
                <c:pt idx="200">
                  <c:v>4.3396357246584291E-2</c:v>
                </c:pt>
                <c:pt idx="201">
                  <c:v>4.3382286290338169E-2</c:v>
                </c:pt>
                <c:pt idx="202">
                  <c:v>4.3359129600601017E-2</c:v>
                </c:pt>
                <c:pt idx="203">
                  <c:v>4.3326888173270253E-2</c:v>
                </c:pt>
                <c:pt idx="204">
                  <c:v>4.3285563394949669E-2</c:v>
                </c:pt>
                <c:pt idx="205">
                  <c:v>4.3235157042889799E-2</c:v>
                </c:pt>
                <c:pt idx="206">
                  <c:v>4.3175671284911524E-2</c:v>
                </c:pt>
                <c:pt idx="207">
                  <c:v>4.3107108679312778E-2</c:v>
                </c:pt>
                <c:pt idx="208">
                  <c:v>4.3029472174758575E-2</c:v>
                </c:pt>
                <c:pt idx="209">
                  <c:v>4.2942765110154185E-2</c:v>
                </c:pt>
                <c:pt idx="210">
                  <c:v>4.2846991214501536E-2</c:v>
                </c:pt>
                <c:pt idx="211">
                  <c:v>4.2742154606738823E-2</c:v>
                </c:pt>
                <c:pt idx="212">
                  <c:v>4.2628259795563388E-2</c:v>
                </c:pt>
                <c:pt idx="213">
                  <c:v>4.2505311679237795E-2</c:v>
                </c:pt>
                <c:pt idx="214">
                  <c:v>4.2373315545379216E-2</c:v>
                </c:pt>
                <c:pt idx="215">
                  <c:v>4.2232277070731968E-2</c:v>
                </c:pt>
                <c:pt idx="216">
                  <c:v>4.2082202320923405E-2</c:v>
                </c:pt>
                <c:pt idx="217">
                  <c:v>4.1923097750203031E-2</c:v>
                </c:pt>
                <c:pt idx="218">
                  <c:v>4.175497020116499E-2</c:v>
                </c:pt>
                <c:pt idx="219">
                  <c:v>4.1577826904453656E-2</c:v>
                </c:pt>
                <c:pt idx="220">
                  <c:v>4.1391675478452836E-2</c:v>
                </c:pt>
                <c:pt idx="221">
                  <c:v>4.1196523928957993E-2</c:v>
                </c:pt>
                <c:pt idx="222">
                  <c:v>4.099238064883199E-2</c:v>
                </c:pt>
                <c:pt idx="223">
                  <c:v>4.0779254417644163E-2</c:v>
                </c:pt>
                <c:pt idx="224">
                  <c:v>4.055715440129265E-2</c:v>
                </c:pt>
                <c:pt idx="225">
                  <c:v>4.0326090151610337E-2</c:v>
                </c:pt>
                <c:pt idx="226">
                  <c:v>4.0086071605953906E-2</c:v>
                </c:pt>
                <c:pt idx="227">
                  <c:v>3.9837109086776588E-2</c:v>
                </c:pt>
                <c:pt idx="228">
                  <c:v>3.9579213301184156E-2</c:v>
                </c:pt>
                <c:pt idx="229">
                  <c:v>3.9312395340474475E-2</c:v>
                </c:pt>
                <c:pt idx="230">
                  <c:v>3.9036666679660444E-2</c:v>
                </c:pt>
                <c:pt idx="231">
                  <c:v>3.8752039176976602E-2</c:v>
                </c:pt>
                <c:pt idx="232">
                  <c:v>3.8458525073369054E-2</c:v>
                </c:pt>
                <c:pt idx="233">
                  <c:v>3.8156136991969021E-2</c:v>
                </c:pt>
                <c:pt idx="234">
                  <c:v>3.7844887937550011E-2</c:v>
                </c:pt>
                <c:pt idx="235">
                  <c:v>3.7524791295968481E-2</c:v>
                </c:pt>
                <c:pt idx="236">
                  <c:v>3.7195860833588203E-2</c:v>
                </c:pt>
                <c:pt idx="237">
                  <c:v>3.6858110696688137E-2</c:v>
                </c:pt>
                <c:pt idx="238">
                  <c:v>3.6511555410854157E-2</c:v>
                </c:pt>
                <c:pt idx="239">
                  <c:v>3.6156209880354201E-2</c:v>
                </c:pt>
                <c:pt idx="240">
                  <c:v>3.5792089387497408E-2</c:v>
                </c:pt>
                <c:pt idx="241">
                  <c:v>3.5419209591976857E-2</c:v>
                </c:pt>
                <c:pt idx="242">
                  <c:v>3.5037586530196035E-2</c:v>
                </c:pt>
                <c:pt idx="243">
                  <c:v>3.464723661457917E-2</c:v>
                </c:pt>
                <c:pt idx="244">
                  <c:v>3.4248176632865453E-2</c:v>
                </c:pt>
                <c:pt idx="245">
                  <c:v>3.3840423747387001E-2</c:v>
                </c:pt>
                <c:pt idx="246">
                  <c:v>3.3423995494330713E-2</c:v>
                </c:pt>
                <c:pt idx="247">
                  <c:v>3.2998909782984184E-2</c:v>
                </c:pt>
                <c:pt idx="248">
                  <c:v>3.2565184894965425E-2</c:v>
                </c:pt>
                <c:pt idx="249">
                  <c:v>3.2122839483436631E-2</c:v>
                </c:pt>
                <c:pt idx="250">
                  <c:v>3.1671892572302004E-2</c:v>
                </c:pt>
                <c:pt idx="251">
                  <c:v>3.1212363555389526E-2</c:v>
                </c:pt>
                <c:pt idx="252">
                  <c:v>3.074427219561696E-2</c:v>
                </c:pt>
                <c:pt idx="253">
                  <c:v>3.0267638624141877E-2</c:v>
                </c:pt>
                <c:pt idx="254">
                  <c:v>2.978248333949586E-2</c:v>
                </c:pt>
                <c:pt idx="255">
                  <c:v>2.9288827206702974E-2</c:v>
                </c:pt>
                <c:pt idx="256">
                  <c:v>2.8786691456382366E-2</c:v>
                </c:pt>
                <c:pt idx="257">
                  <c:v>2.8276097683835259E-2</c:v>
                </c:pt>
                <c:pt idx="258">
                  <c:v>2.7757067848116164E-2</c:v>
                </c:pt>
                <c:pt idx="259">
                  <c:v>2.7229624271088493E-2</c:v>
                </c:pt>
                <c:pt idx="260">
                  <c:v>2.6693789636464606E-2</c:v>
                </c:pt>
                <c:pt idx="261">
                  <c:v>2.6149586988830197E-2</c:v>
                </c:pt>
                <c:pt idx="262">
                  <c:v>2.5597039732653259E-2</c:v>
                </c:pt>
                <c:pt idx="263">
                  <c:v>2.5036171631277523E-2</c:v>
                </c:pt>
                <c:pt idx="264">
                  <c:v>2.446700680590045E-2</c:v>
                </c:pt>
                <c:pt idx="265">
                  <c:v>2.3889569734535872E-2</c:v>
                </c:pt>
                <c:pt idx="266">
                  <c:v>2.3303885250961259E-2</c:v>
                </c:pt>
                <c:pt idx="267">
                  <c:v>2.2709978543649725E-2</c:v>
                </c:pt>
                <c:pt idx="268">
                  <c:v>2.2107875154686693E-2</c:v>
                </c:pt>
                <c:pt idx="269">
                  <c:v>2.1497600978671458E-2</c:v>
                </c:pt>
                <c:pt idx="270">
                  <c:v>2.0879182261603523E-2</c:v>
                </c:pt>
                <c:pt idx="271">
                  <c:v>2.025264559975384E-2</c:v>
                </c:pt>
                <c:pt idx="272">
                  <c:v>1.9618017938520978E-2</c:v>
                </c:pt>
                <c:pt idx="273">
                  <c:v>1.8975326571272304E-2</c:v>
                </c:pt>
                <c:pt idx="274">
                  <c:v>1.8324599138170177E-2</c:v>
                </c:pt>
                <c:pt idx="275">
                  <c:v>1.7665863624983218E-2</c:v>
                </c:pt>
                <c:pt idx="276">
                  <c:v>1.6999148361882727E-2</c:v>
                </c:pt>
                <c:pt idx="277">
                  <c:v>1.63244820222243E-2</c:v>
                </c:pt>
                <c:pt idx="278">
                  <c:v>1.5641893621314691E-2</c:v>
                </c:pt>
                <c:pt idx="279">
                  <c:v>1.4951412515163917E-2</c:v>
                </c:pt>
                <c:pt idx="280">
                  <c:v>1.4253068399222781E-2</c:v>
                </c:pt>
                <c:pt idx="281">
                  <c:v>1.3546891307105739E-2</c:v>
                </c:pt>
                <c:pt idx="282">
                  <c:v>1.2832911609299266E-2</c:v>
                </c:pt>
                <c:pt idx="283">
                  <c:v>1.2111160011855708E-2</c:v>
                </c:pt>
                <c:pt idx="284">
                  <c:v>1.1381667555072706E-2</c:v>
                </c:pt>
                <c:pt idx="285">
                  <c:v>1.0644465612158248E-2</c:v>
                </c:pt>
                <c:pt idx="286">
                  <c:v>9.8995858878814132E-3</c:v>
                </c:pt>
                <c:pt idx="287">
                  <c:v>9.1470604172088511E-3</c:v>
                </c:pt>
                <c:pt idx="288">
                  <c:v>8.3869215639270356E-3</c:v>
                </c:pt>
                <c:pt idx="289">
                  <c:v>7.6192020192504262E-3</c:v>
                </c:pt>
                <c:pt idx="290">
                  <c:v>6.8439348004154981E-3</c:v>
                </c:pt>
                <c:pt idx="291">
                  <c:v>6.0611532492607879E-3</c:v>
                </c:pt>
                <c:pt idx="292">
                  <c:v>5.2708910307929565E-3</c:v>
                </c:pt>
                <c:pt idx="293">
                  <c:v>4.4731821317389635E-3</c:v>
                </c:pt>
                <c:pt idx="294">
                  <c:v>3.6680608590844072E-3</c:v>
                </c:pt>
                <c:pt idx="295">
                  <c:v>2.8555618385980811E-3</c:v>
                </c:pt>
                <c:pt idx="296">
                  <c:v>2.0357200133428316E-3</c:v>
                </c:pt>
                <c:pt idx="297">
                  <c:v>1.2085706421727641E-3</c:v>
                </c:pt>
                <c:pt idx="298">
                  <c:v>3.7418399800900448E-4</c:v>
                </c:pt>
                <c:pt idx="299">
                  <c:v>-4.6404636074708706E-4</c:v>
                </c:pt>
                <c:pt idx="300">
                  <c:v>-1.2976795641064024E-3</c:v>
                </c:pt>
                <c:pt idx="301">
                  <c:v>-2.1240444075461633E-3</c:v>
                </c:pt>
                <c:pt idx="302">
                  <c:v>-2.9430979065128557E-3</c:v>
                </c:pt>
                <c:pt idx="303">
                  <c:v>-3.754804836055844E-3</c:v>
                </c:pt>
                <c:pt idx="304">
                  <c:v>-4.5591302871776556E-3</c:v>
                </c:pt>
                <c:pt idx="305">
                  <c:v>-5.3560396683353124E-3</c:v>
                </c:pt>
                <c:pt idx="306">
                  <c:v>-6.1454987069280024E-3</c:v>
                </c:pt>
                <c:pt idx="307">
                  <c:v>-6.9274734507710403E-3</c:v>
                </c:pt>
                <c:pt idx="308">
                  <c:v>-7.7019302695560442E-3</c:v>
                </c:pt>
                <c:pt idx="309">
                  <c:v>-8.4688358562972701E-3</c:v>
                </c:pt>
                <c:pt idx="310">
                  <c:v>-9.2281572287640536E-3</c:v>
                </c:pt>
                <c:pt idx="311">
                  <c:v>-9.979861730899247E-3</c:v>
                </c:pt>
                <c:pt idx="312">
                  <c:v>-1.0723917034223682E-2</c:v>
                </c:pt>
                <c:pt idx="313">
                  <c:v>-1.1460291139226505E-2</c:v>
                </c:pt>
                <c:pt idx="314">
                  <c:v>-1.2188952376741377E-2</c:v>
                </c:pt>
                <c:pt idx="315">
                  <c:v>-1.2909869409308466E-2</c:v>
                </c:pt>
                <c:pt idx="316">
                  <c:v>-1.3623011232522181E-2</c:v>
                </c:pt>
                <c:pt idx="317">
                  <c:v>-1.4328347176364564E-2</c:v>
                </c:pt>
                <c:pt idx="318">
                  <c:v>-1.5025846906524323E-2</c:v>
                </c:pt>
                <c:pt idx="319">
                  <c:v>-1.5715480425701412E-2</c:v>
                </c:pt>
                <c:pt idx="320">
                  <c:v>-1.6397218074897114E-2</c:v>
                </c:pt>
                <c:pt idx="321">
                  <c:v>-1.7071030534689603E-2</c:v>
                </c:pt>
                <c:pt idx="322">
                  <c:v>-1.7736888826494848E-2</c:v>
                </c:pt>
                <c:pt idx="323">
                  <c:v>-1.8394764313812942E-2</c:v>
                </c:pt>
                <c:pt idx="324">
                  <c:v>-1.9044628703459618E-2</c:v>
                </c:pt>
                <c:pt idx="325">
                  <c:v>-1.9686454046783073E-2</c:v>
                </c:pt>
                <c:pt idx="326">
                  <c:v>-2.0320212740865966E-2</c:v>
                </c:pt>
                <c:pt idx="327">
                  <c:v>-2.0945877529712512E-2</c:v>
                </c:pt>
                <c:pt idx="328">
                  <c:v>-2.1563421505420677E-2</c:v>
                </c:pt>
                <c:pt idx="329">
                  <c:v>-2.2172818109339441E-2</c:v>
                </c:pt>
                <c:pt idx="330">
                  <c:v>-2.2774041133210948E-2</c:v>
                </c:pt>
                <c:pt idx="331">
                  <c:v>-2.3367064720297676E-2</c:v>
                </c:pt>
                <c:pt idx="332">
                  <c:v>-2.3951863366494443E-2</c:v>
                </c:pt>
                <c:pt idx="333">
                  <c:v>-2.4528411921425283E-2</c:v>
                </c:pt>
                <c:pt idx="334">
                  <c:v>-2.5096685589525058E-2</c:v>
                </c:pt>
                <c:pt idx="335">
                  <c:v>-2.5656659931105847E-2</c:v>
                </c:pt>
                <c:pt idx="336">
                  <c:v>-2.6208310863408003E-2</c:v>
                </c:pt>
                <c:pt idx="337">
                  <c:v>-2.675161466163593E-2</c:v>
                </c:pt>
                <c:pt idx="338">
                  <c:v>-2.7286547959978348E-2</c:v>
                </c:pt>
                <c:pt idx="339">
                  <c:v>-2.7813087752613239E-2</c:v>
                </c:pt>
                <c:pt idx="340">
                  <c:v>-2.8331211394697221E-2</c:v>
                </c:pt>
                <c:pt idx="341">
                  <c:v>-2.8840896603339456E-2</c:v>
                </c:pt>
                <c:pt idx="342">
                  <c:v>-2.9342121458559932E-2</c:v>
                </c:pt>
                <c:pt idx="343">
                  <c:v>-2.9834864404232206E-2</c:v>
                </c:pt>
                <c:pt idx="344">
                  <c:v>-3.0319104249010475E-2</c:v>
                </c:pt>
                <c:pt idx="345">
                  <c:v>-3.0794820167240923E-2</c:v>
                </c:pt>
                <c:pt idx="346">
                  <c:v>-3.1261991699857362E-2</c:v>
                </c:pt>
                <c:pt idx="347">
                  <c:v>-3.1720598755261148E-2</c:v>
                </c:pt>
                <c:pt idx="348">
                  <c:v>-3.2170621610185246E-2</c:v>
                </c:pt>
                <c:pt idx="349">
                  <c:v>-3.2612040910542414E-2</c:v>
                </c:pt>
                <c:pt idx="350">
                  <c:v>-3.304483767225766E-2</c:v>
                </c:pt>
                <c:pt idx="351">
                  <c:v>-3.3468993282084601E-2</c:v>
                </c:pt>
                <c:pt idx="352">
                  <c:v>-3.3884489498406001E-2</c:v>
                </c:pt>
                <c:pt idx="353">
                  <c:v>-3.4291308452018311E-2</c:v>
                </c:pt>
                <c:pt idx="354">
                  <c:v>-3.4689432646900088E-2</c:v>
                </c:pt>
                <c:pt idx="355">
                  <c:v>-3.5078844960964542E-2</c:v>
                </c:pt>
                <c:pt idx="356">
                  <c:v>-3.5459528646795829E-2</c:v>
                </c:pt>
                <c:pt idx="357">
                  <c:v>-3.5831467332369346E-2</c:v>
                </c:pt>
                <c:pt idx="358">
                  <c:v>-3.6194645021755803E-2</c:v>
                </c:pt>
                <c:pt idx="359">
                  <c:v>-3.6549046095809223E-2</c:v>
                </c:pt>
                <c:pt idx="360">
                  <c:v>-3.6894655312838601E-2</c:v>
                </c:pt>
                <c:pt idx="361">
                  <c:v>-3.723145780926345E-2</c:v>
                </c:pt>
                <c:pt idx="362">
                  <c:v>-3.7559439100253E-2</c:v>
                </c:pt>
                <c:pt idx="363">
                  <c:v>-3.7878585080349185E-2</c:v>
                </c:pt>
                <c:pt idx="364">
                  <c:v>-3.8188882024073278E-2</c:v>
                </c:pt>
                <c:pt idx="365">
                  <c:v>-3.8490316586516124E-2</c:v>
                </c:pt>
                <c:pt idx="366">
                  <c:v>-3.8782875803912126E-2</c:v>
                </c:pt>
                <c:pt idx="367">
                  <c:v>-3.906654709419672E-2</c:v>
                </c:pt>
                <c:pt idx="368">
                  <c:v>-3.9341318257547546E-2</c:v>
                </c:pt>
                <c:pt idx="369">
                  <c:v>-3.9607177476909089E-2</c:v>
                </c:pt>
                <c:pt idx="370">
                  <c:v>-3.9864113318500899E-2</c:v>
                </c:pt>
                <c:pt idx="371">
                  <c:v>-4.0112114732309335E-2</c:v>
                </c:pt>
                <c:pt idx="372">
                  <c:v>-4.0351171052562793E-2</c:v>
                </c:pt>
                <c:pt idx="373">
                  <c:v>-4.05812719981904E-2</c:v>
                </c:pt>
                <c:pt idx="374">
                  <c:v>-4.0802407673264131E-2</c:v>
                </c:pt>
                <c:pt idx="375">
                  <c:v>-4.1014568567424477E-2</c:v>
                </c:pt>
                <c:pt idx="376">
                  <c:v>-4.1217745556289417E-2</c:v>
                </c:pt>
                <c:pt idx="377">
                  <c:v>-4.1411929901846847E-2</c:v>
                </c:pt>
                <c:pt idx="378">
                  <c:v>-4.1597113252830317E-2</c:v>
                </c:pt>
                <c:pt idx="379">
                  <c:v>-4.1773287645078261E-2</c:v>
                </c:pt>
                <c:pt idx="380">
                  <c:v>-4.1940445501876499E-2</c:v>
                </c:pt>
                <c:pt idx="381">
                  <c:v>-4.2098579634284046E-2</c:v>
                </c:pt>
                <c:pt idx="382">
                  <c:v>-4.2247683241442353E-2</c:v>
                </c:pt>
                <c:pt idx="383">
                  <c:v>-4.2387749910867731E-2</c:v>
                </c:pt>
                <c:pt idx="384">
                  <c:v>-4.2518773618727128E-2</c:v>
                </c:pt>
                <c:pt idx="385">
                  <c:v>-4.2640748730097273E-2</c:v>
                </c:pt>
                <c:pt idx="386">
                  <c:v>-4.275366999920692E-2</c:v>
                </c:pt>
                <c:pt idx="387">
                  <c:v>-4.2857532569662536E-2</c:v>
                </c:pt>
                <c:pt idx="388">
                  <c:v>-4.2952331974657108E-2</c:v>
                </c:pt>
                <c:pt idx="389">
                  <c:v>-4.3038064137162248E-2</c:v>
                </c:pt>
                <c:pt idx="390">
                  <c:v>-4.3114725370103538E-2</c:v>
                </c:pt>
                <c:pt idx="391">
                  <c:v>-4.3182312376519143E-2</c:v>
                </c:pt>
                <c:pt idx="392">
                  <c:v>-4.3240822249701515E-2</c:v>
                </c:pt>
                <c:pt idx="393">
                  <c:v>-4.3290252473322507E-2</c:v>
                </c:pt>
                <c:pt idx="394">
                  <c:v>-4.3330600921541486E-2</c:v>
                </c:pt>
                <c:pt idx="395">
                  <c:v>-4.3361865859096869E-2</c:v>
                </c:pt>
                <c:pt idx="396">
                  <c:v>-4.3384045941380636E-2</c:v>
                </c:pt>
                <c:pt idx="397">
                  <c:v>-4.3397140214496255E-2</c:v>
                </c:pt>
                <c:pt idx="398">
                  <c:v>-4.3401148115299631E-2</c:v>
                </c:pt>
                <c:pt idx="399">
                  <c:v>-4.3396069471423424E-2</c:v>
                </c:pt>
                <c:pt idx="400">
                  <c:v>-4.3381904501284319E-2</c:v>
                </c:pt>
                <c:pt idx="401">
                  <c:v>-4.3358653814073757E-2</c:v>
                </c:pt>
                <c:pt idx="402">
                  <c:v>-4.3326318409731682E-2</c:v>
                </c:pt>
                <c:pt idx="403">
                  <c:v>-4.3284899678903539E-2</c:v>
                </c:pt>
                <c:pt idx="404">
                  <c:v>-4.3234399402880486E-2</c:v>
                </c:pt>
                <c:pt idx="405">
                  <c:v>-4.3174819753522761E-2</c:v>
                </c:pt>
                <c:pt idx="406">
                  <c:v>-4.3106163293166293E-2</c:v>
                </c:pt>
                <c:pt idx="407">
                  <c:v>-4.3028432974512504E-2</c:v>
                </c:pt>
                <c:pt idx="408">
                  <c:v>-4.2941632140501312E-2</c:v>
                </c:pt>
                <c:pt idx="409">
                  <c:v>-4.2845764524167364E-2</c:v>
                </c:pt>
                <c:pt idx="410">
                  <c:v>-4.2740834248479506E-2</c:v>
                </c:pt>
                <c:pt idx="411">
                  <c:v>-4.2626845826163426E-2</c:v>
                </c:pt>
                <c:pt idx="412">
                  <c:v>-4.2503804159507649E-2</c:v>
                </c:pt>
                <c:pt idx="413">
                  <c:v>-4.2371714540152629E-2</c:v>
                </c:pt>
                <c:pt idx="414">
                  <c:v>-4.2230582648863195E-2</c:v>
                </c:pt>
                <c:pt idx="415">
                  <c:v>-4.2080414555284266E-2</c:v>
                </c:pt>
                <c:pt idx="416">
                  <c:v>-4.1921216717679795E-2</c:v>
                </c:pt>
                <c:pt idx="417">
                  <c:v>-4.1752995982655014E-2</c:v>
                </c:pt>
                <c:pt idx="418">
                  <c:v>-4.1575759584861982E-2</c:v>
                </c:pt>
                <c:pt idx="419">
                  <c:v>-4.1389515146688476E-2</c:v>
                </c:pt>
                <c:pt idx="420">
                  <c:v>-4.1194270677930106E-2</c:v>
                </c:pt>
                <c:pt idx="421">
                  <c:v>-4.0990034575445901E-2</c:v>
                </c:pt>
                <c:pt idx="422">
                  <c:v>-4.0776815622797218E-2</c:v>
                </c:pt>
                <c:pt idx="423">
                  <c:v>-4.0554622989869865E-2</c:v>
                </c:pt>
                <c:pt idx="424">
                  <c:v>-4.0323466232479843E-2</c:v>
                </c:pt>
                <c:pt idx="425">
                  <c:v>-4.0083355291962344E-2</c:v>
                </c:pt>
                <c:pt idx="426">
                  <c:v>-3.98343004947442E-2</c:v>
                </c:pt>
                <c:pt idx="427">
                  <c:v>-3.9576312551899744E-2</c:v>
                </c:pt>
                <c:pt idx="428">
                  <c:v>-3.9309402558690268E-2</c:v>
                </c:pt>
                <c:pt idx="429">
                  <c:v>-3.9033581994086741E-2</c:v>
                </c:pt>
                <c:pt idx="430">
                  <c:v>-3.8748862720276146E-2</c:v>
                </c:pt>
                <c:pt idx="431">
                  <c:v>-3.8455256982151402E-2</c:v>
                </c:pt>
                <c:pt idx="432">
                  <c:v>-3.8152777406784626E-2</c:v>
                </c:pt>
                <c:pt idx="433">
                  <c:v>-3.7841437002884198E-2</c:v>
                </c:pt>
                <c:pt idx="434">
                  <c:v>-3.7521249160235276E-2</c:v>
                </c:pt>
                <c:pt idx="435">
                  <c:v>-3.719222764912386E-2</c:v>
                </c:pt>
                <c:pt idx="436">
                  <c:v>-3.6854386619744668E-2</c:v>
                </c:pt>
                <c:pt idx="437">
                  <c:v>-3.6507740601592543E-2</c:v>
                </c:pt>
                <c:pt idx="438">
                  <c:v>-3.6152304502837587E-2</c:v>
                </c:pt>
                <c:pt idx="439">
                  <c:v>-3.5788093609683956E-2</c:v>
                </c:pt>
                <c:pt idx="440">
                  <c:v>-3.5415123585712575E-2</c:v>
                </c:pt>
                <c:pt idx="441">
                  <c:v>-3.5033410471207366E-2</c:v>
                </c:pt>
                <c:pt idx="442">
                  <c:v>-3.4642970682465482E-2</c:v>
                </c:pt>
                <c:pt idx="443">
                  <c:v>-3.4243821011091247E-2</c:v>
                </c:pt>
                <c:pt idx="444">
                  <c:v>-3.3835978623274039E-2</c:v>
                </c:pt>
                <c:pt idx="445">
                  <c:v>-3.3419461059050005E-2</c:v>
                </c:pt>
                <c:pt idx="446">
                  <c:v>-3.2994286231547737E-2</c:v>
                </c:pt>
                <c:pt idx="447">
                  <c:v>-3.2560472426217839E-2</c:v>
                </c:pt>
                <c:pt idx="448">
                  <c:v>-3.2118038300046566E-2</c:v>
                </c:pt>
                <c:pt idx="449">
                  <c:v>-3.1667002880753463E-2</c:v>
                </c:pt>
                <c:pt idx="450">
                  <c:v>-3.1207385565972984E-2</c:v>
                </c:pt>
                <c:pt idx="451">
                  <c:v>-3.0739206122420312E-2</c:v>
                </c:pt>
                <c:pt idx="452">
                  <c:v>-3.0262484685041214E-2</c:v>
                </c:pt>
                <c:pt idx="453">
                  <c:v>-2.9777241756146121E-2</c:v>
                </c:pt>
                <c:pt idx="454">
                  <c:v>-2.9283498204528399E-2</c:v>
                </c:pt>
                <c:pt idx="455">
                  <c:v>-2.8781275264566808E-2</c:v>
                </c:pt>
                <c:pt idx="456">
                  <c:v>-2.8270594535312325E-2</c:v>
                </c:pt>
                <c:pt idx="457">
                  <c:v>-2.7751477979559205E-2</c:v>
                </c:pt>
                <c:pt idx="458">
                  <c:v>-2.7223947922900428E-2</c:v>
                </c:pt>
                <c:pt idx="459">
                  <c:v>-2.6688027052767554E-2</c:v>
                </c:pt>
                <c:pt idx="460">
                  <c:v>-2.6143738417455018E-2</c:v>
                </c:pt>
                <c:pt idx="461">
                  <c:v>-2.5591105425128866E-2</c:v>
                </c:pt>
                <c:pt idx="462">
                  <c:v>-2.5030151842820075E-2</c:v>
                </c:pt>
                <c:pt idx="463">
                  <c:v>-2.446090179540238E-2</c:v>
                </c:pt>
                <c:pt idx="464">
                  <c:v>-2.3883379764554739E-2</c:v>
                </c:pt>
                <c:pt idx="465">
                  <c:v>-2.3297610587708489E-2</c:v>
                </c:pt>
                <c:pt idx="466">
                  <c:v>-2.2703619456979112E-2</c:v>
                </c:pt>
                <c:pt idx="467">
                  <c:v>-2.210143191808283E-2</c:v>
                </c:pt>
                <c:pt idx="468">
                  <c:v>-2.1491073869237976E-2</c:v>
                </c:pt>
                <c:pt idx="469">
                  <c:v>-2.0872571560051147E-2</c:v>
                </c:pt>
                <c:pt idx="470">
                  <c:v>-2.024595159038833E-2</c:v>
                </c:pt>
                <c:pt idx="471">
                  <c:v>-1.9611240909230925E-2</c:v>
                </c:pt>
                <c:pt idx="472">
                  <c:v>-1.8968466813516719E-2</c:v>
                </c:pt>
                <c:pt idx="473">
                  <c:v>-1.8317656946965966E-2</c:v>
                </c:pt>
                <c:pt idx="474">
                  <c:v>-1.7658839298892486E-2</c:v>
                </c:pt>
                <c:pt idx="475">
                  <c:v>-1.6992042202999956E-2</c:v>
                </c:pt>
                <c:pt idx="476">
                  <c:v>-1.6317294336163347E-2</c:v>
                </c:pt>
                <c:pt idx="477">
                  <c:v>-1.5634624717195636E-2</c:v>
                </c:pt>
                <c:pt idx="478">
                  <c:v>-1.4944062705599783E-2</c:v>
                </c:pt>
                <c:pt idx="479">
                  <c:v>-1.4245638000306081E-2</c:v>
                </c:pt>
                <c:pt idx="480">
                  <c:v>-1.3539380638394886E-2</c:v>
                </c:pt>
                <c:pt idx="481">
                  <c:v>-1.2825320993804831E-2</c:v>
                </c:pt>
                <c:pt idx="482">
                  <c:v>-1.2103489776026514E-2</c:v>
                </c:pt>
                <c:pt idx="483">
                  <c:v>-1.1373918028781805E-2</c:v>
                </c:pt>
                <c:pt idx="484">
                  <c:v>-1.0636637128688732E-2</c:v>
                </c:pt>
                <c:pt idx="485">
                  <c:v>-9.8916787839120821E-3</c:v>
                </c:pt>
                <c:pt idx="486">
                  <c:v>-9.1390750327997126E-3</c:v>
                </c:pt>
                <c:pt idx="487">
                  <c:v>-8.3788582425047119E-3</c:v>
                </c:pt>
                <c:pt idx="488">
                  <c:v>-7.6110611075933575E-3</c:v>
                </c:pt>
                <c:pt idx="489">
                  <c:v>-6.8357166486390465E-3</c:v>
                </c:pt>
                <c:pt idx="490">
                  <c:v>-6.0528582108021712E-3</c:v>
                </c:pt>
                <c:pt idx="491">
                  <c:v>-5.2625194623960522E-3</c:v>
                </c:pt>
                <c:pt idx="492">
                  <c:v>-4.4647343934389643E-3</c:v>
                </c:pt>
                <c:pt idx="493">
                  <c:v>-3.6595373141923354E-3</c:v>
                </c:pt>
                <c:pt idx="494">
                  <c:v>-2.846962853685167E-3</c:v>
                </c:pt>
                <c:pt idx="495">
                  <c:v>-2.0270459582247447E-3</c:v>
                </c:pt>
                <c:pt idx="496">
                  <c:v>-1.1998218898937128E-3</c:v>
                </c:pt>
                <c:pt idx="497">
                  <c:v>-3.6536464766227588E-4</c:v>
                </c:pt>
                <c:pt idx="498">
                  <c:v>4.7285888387419502E-4</c:v>
                </c:pt>
                <c:pt idx="499">
                  <c:v>1.3064140678118962E-3</c:v>
                </c:pt>
                <c:pt idx="500">
                  <c:v>2.1326986558847963E-3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27-4D05-B150-CC213E3F5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755264"/>
        <c:axId val="324752464"/>
      </c:scatterChart>
      <c:valAx>
        <c:axId val="32475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752464"/>
        <c:crosses val="autoZero"/>
        <c:crossBetween val="midCat"/>
      </c:valAx>
      <c:valAx>
        <c:axId val="32475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755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wyniki!$C$1</c:f>
              <c:strCache>
                <c:ptCount val="1"/>
                <c:pt idx="0">
                  <c:v>omega[rad/s]</c:v>
                </c:pt>
              </c:strCache>
            </c:strRef>
          </c:tx>
          <c:marker>
            <c:symbol val="diamond"/>
            <c:size val="2"/>
          </c:marker>
          <c:xVal>
            <c:strRef>
              <c:f>wyniki!$A:$A</c:f>
              <c:strCache>
                <c:ptCount val="501"/>
                <c:pt idx="0">
                  <c:v>t[s]</c:v>
                </c:pt>
                <c:pt idx="1">
                  <c:v>0,0003</c:v>
                </c:pt>
                <c:pt idx="2">
                  <c:v>0,0006</c:v>
                </c:pt>
                <c:pt idx="3">
                  <c:v>0,0009</c:v>
                </c:pt>
                <c:pt idx="4">
                  <c:v>0,0012</c:v>
                </c:pt>
                <c:pt idx="5">
                  <c:v>0,0015</c:v>
                </c:pt>
                <c:pt idx="6">
                  <c:v>0,0018</c:v>
                </c:pt>
                <c:pt idx="7">
                  <c:v>0,0021</c:v>
                </c:pt>
                <c:pt idx="8">
                  <c:v>0,0024</c:v>
                </c:pt>
                <c:pt idx="9">
                  <c:v>0,0027</c:v>
                </c:pt>
                <c:pt idx="10">
                  <c:v>0,003</c:v>
                </c:pt>
                <c:pt idx="11">
                  <c:v>0,0033</c:v>
                </c:pt>
                <c:pt idx="12">
                  <c:v>0,0036</c:v>
                </c:pt>
                <c:pt idx="13">
                  <c:v>0,0039</c:v>
                </c:pt>
                <c:pt idx="14">
                  <c:v>0,0042</c:v>
                </c:pt>
                <c:pt idx="15">
                  <c:v>0,0045</c:v>
                </c:pt>
                <c:pt idx="16">
                  <c:v>0,0048</c:v>
                </c:pt>
                <c:pt idx="17">
                  <c:v>0,0051</c:v>
                </c:pt>
                <c:pt idx="18">
                  <c:v>0,0054</c:v>
                </c:pt>
                <c:pt idx="19">
                  <c:v>0,0057</c:v>
                </c:pt>
                <c:pt idx="20">
                  <c:v>0,006</c:v>
                </c:pt>
                <c:pt idx="21">
                  <c:v>0,0063</c:v>
                </c:pt>
                <c:pt idx="22">
                  <c:v>0,0066</c:v>
                </c:pt>
                <c:pt idx="23">
                  <c:v>0,0069</c:v>
                </c:pt>
                <c:pt idx="24">
                  <c:v>0,0072</c:v>
                </c:pt>
                <c:pt idx="25">
                  <c:v>0,0075</c:v>
                </c:pt>
                <c:pt idx="26">
                  <c:v>0,0078</c:v>
                </c:pt>
                <c:pt idx="27">
                  <c:v>0,0081</c:v>
                </c:pt>
                <c:pt idx="28">
                  <c:v>0,0084</c:v>
                </c:pt>
                <c:pt idx="29">
                  <c:v>0,0087</c:v>
                </c:pt>
                <c:pt idx="30">
                  <c:v>0,009</c:v>
                </c:pt>
                <c:pt idx="31">
                  <c:v>0,0093</c:v>
                </c:pt>
                <c:pt idx="32">
                  <c:v>0,0096</c:v>
                </c:pt>
                <c:pt idx="33">
                  <c:v>0,0099</c:v>
                </c:pt>
                <c:pt idx="34">
                  <c:v>0,0102</c:v>
                </c:pt>
                <c:pt idx="35">
                  <c:v>0,0105</c:v>
                </c:pt>
                <c:pt idx="36">
                  <c:v>0,0108</c:v>
                </c:pt>
                <c:pt idx="37">
                  <c:v>0,0111</c:v>
                </c:pt>
                <c:pt idx="38">
                  <c:v>0,0114</c:v>
                </c:pt>
                <c:pt idx="39">
                  <c:v>0,0117</c:v>
                </c:pt>
                <c:pt idx="40">
                  <c:v>0,012</c:v>
                </c:pt>
                <c:pt idx="41">
                  <c:v>0,0123</c:v>
                </c:pt>
                <c:pt idx="42">
                  <c:v>0,0126</c:v>
                </c:pt>
                <c:pt idx="43">
                  <c:v>0,0129</c:v>
                </c:pt>
                <c:pt idx="44">
                  <c:v>0,0132</c:v>
                </c:pt>
                <c:pt idx="45">
                  <c:v>0,0135</c:v>
                </c:pt>
                <c:pt idx="46">
                  <c:v>0,0138</c:v>
                </c:pt>
                <c:pt idx="47">
                  <c:v>0,0141</c:v>
                </c:pt>
                <c:pt idx="48">
                  <c:v>0,0144</c:v>
                </c:pt>
                <c:pt idx="49">
                  <c:v>0,0147</c:v>
                </c:pt>
                <c:pt idx="50">
                  <c:v>0,015</c:v>
                </c:pt>
                <c:pt idx="51">
                  <c:v>0,0153</c:v>
                </c:pt>
                <c:pt idx="52">
                  <c:v>0,0156</c:v>
                </c:pt>
                <c:pt idx="53">
                  <c:v>0,0159</c:v>
                </c:pt>
                <c:pt idx="54">
                  <c:v>0,0162</c:v>
                </c:pt>
                <c:pt idx="55">
                  <c:v>0,0165</c:v>
                </c:pt>
                <c:pt idx="56">
                  <c:v>0,0168</c:v>
                </c:pt>
                <c:pt idx="57">
                  <c:v>0,0171</c:v>
                </c:pt>
                <c:pt idx="58">
                  <c:v>0,0174</c:v>
                </c:pt>
                <c:pt idx="59">
                  <c:v>0,0177</c:v>
                </c:pt>
                <c:pt idx="60">
                  <c:v>0,018</c:v>
                </c:pt>
                <c:pt idx="61">
                  <c:v>0,0183</c:v>
                </c:pt>
                <c:pt idx="62">
                  <c:v>0,0186</c:v>
                </c:pt>
                <c:pt idx="63">
                  <c:v>0,0189</c:v>
                </c:pt>
                <c:pt idx="64">
                  <c:v>0,0192</c:v>
                </c:pt>
                <c:pt idx="65">
                  <c:v>0,0195</c:v>
                </c:pt>
                <c:pt idx="66">
                  <c:v>0,0198</c:v>
                </c:pt>
                <c:pt idx="67">
                  <c:v>0,0201</c:v>
                </c:pt>
                <c:pt idx="68">
                  <c:v>0,0204</c:v>
                </c:pt>
                <c:pt idx="69">
                  <c:v>0,0207</c:v>
                </c:pt>
                <c:pt idx="70">
                  <c:v>0,021</c:v>
                </c:pt>
                <c:pt idx="71">
                  <c:v>0,0213</c:v>
                </c:pt>
                <c:pt idx="72">
                  <c:v>0,0216</c:v>
                </c:pt>
                <c:pt idx="73">
                  <c:v>0,0219</c:v>
                </c:pt>
                <c:pt idx="74">
                  <c:v>0,0222</c:v>
                </c:pt>
                <c:pt idx="75">
                  <c:v>0,0225</c:v>
                </c:pt>
                <c:pt idx="76">
                  <c:v>0,0228</c:v>
                </c:pt>
                <c:pt idx="77">
                  <c:v>0,0231</c:v>
                </c:pt>
                <c:pt idx="78">
                  <c:v>0,0234</c:v>
                </c:pt>
                <c:pt idx="79">
                  <c:v>0,0237</c:v>
                </c:pt>
                <c:pt idx="80">
                  <c:v>0,024</c:v>
                </c:pt>
                <c:pt idx="81">
                  <c:v>0,0243</c:v>
                </c:pt>
                <c:pt idx="82">
                  <c:v>0,0246</c:v>
                </c:pt>
                <c:pt idx="83">
                  <c:v>0,0249</c:v>
                </c:pt>
                <c:pt idx="84">
                  <c:v>0,0252</c:v>
                </c:pt>
                <c:pt idx="85">
                  <c:v>0,0255</c:v>
                </c:pt>
                <c:pt idx="86">
                  <c:v>0,0258</c:v>
                </c:pt>
                <c:pt idx="87">
                  <c:v>0,0261</c:v>
                </c:pt>
                <c:pt idx="88">
                  <c:v>0,0264</c:v>
                </c:pt>
                <c:pt idx="89">
                  <c:v>0,0267</c:v>
                </c:pt>
                <c:pt idx="90">
                  <c:v>0,027</c:v>
                </c:pt>
                <c:pt idx="91">
                  <c:v>0,0273</c:v>
                </c:pt>
                <c:pt idx="92">
                  <c:v>0,0276</c:v>
                </c:pt>
                <c:pt idx="93">
                  <c:v>0,0279</c:v>
                </c:pt>
                <c:pt idx="94">
                  <c:v>0,0282</c:v>
                </c:pt>
                <c:pt idx="95">
                  <c:v>0,0285</c:v>
                </c:pt>
                <c:pt idx="96">
                  <c:v>0,0288</c:v>
                </c:pt>
                <c:pt idx="97">
                  <c:v>0,0291</c:v>
                </c:pt>
                <c:pt idx="98">
                  <c:v>0,0294</c:v>
                </c:pt>
                <c:pt idx="99">
                  <c:v>0,0297</c:v>
                </c:pt>
                <c:pt idx="100">
                  <c:v>0,03</c:v>
                </c:pt>
                <c:pt idx="101">
                  <c:v>0,0303</c:v>
                </c:pt>
                <c:pt idx="102">
                  <c:v>0,0306</c:v>
                </c:pt>
                <c:pt idx="103">
                  <c:v>0,0309</c:v>
                </c:pt>
                <c:pt idx="104">
                  <c:v>0,0312</c:v>
                </c:pt>
                <c:pt idx="105">
                  <c:v>0,0315</c:v>
                </c:pt>
                <c:pt idx="106">
                  <c:v>0,0318</c:v>
                </c:pt>
                <c:pt idx="107">
                  <c:v>0,0321</c:v>
                </c:pt>
                <c:pt idx="108">
                  <c:v>0,0324</c:v>
                </c:pt>
                <c:pt idx="109">
                  <c:v>0,0327</c:v>
                </c:pt>
                <c:pt idx="110">
                  <c:v>0,033</c:v>
                </c:pt>
                <c:pt idx="111">
                  <c:v>0,0333</c:v>
                </c:pt>
                <c:pt idx="112">
                  <c:v>0,0336</c:v>
                </c:pt>
                <c:pt idx="113">
                  <c:v>0,0339</c:v>
                </c:pt>
                <c:pt idx="114">
                  <c:v>0,0342</c:v>
                </c:pt>
                <c:pt idx="115">
                  <c:v>0,0345</c:v>
                </c:pt>
                <c:pt idx="116">
                  <c:v>0,0348</c:v>
                </c:pt>
                <c:pt idx="117">
                  <c:v>0,0351</c:v>
                </c:pt>
                <c:pt idx="118">
                  <c:v>0,0354</c:v>
                </c:pt>
                <c:pt idx="119">
                  <c:v>0,0357</c:v>
                </c:pt>
                <c:pt idx="120">
                  <c:v>0,036</c:v>
                </c:pt>
                <c:pt idx="121">
                  <c:v>0,0363</c:v>
                </c:pt>
                <c:pt idx="122">
                  <c:v>0,0366</c:v>
                </c:pt>
                <c:pt idx="123">
                  <c:v>0,0369</c:v>
                </c:pt>
                <c:pt idx="124">
                  <c:v>0,0372</c:v>
                </c:pt>
                <c:pt idx="125">
                  <c:v>0,0375</c:v>
                </c:pt>
                <c:pt idx="126">
                  <c:v>0,0378</c:v>
                </c:pt>
                <c:pt idx="127">
                  <c:v>0,0381</c:v>
                </c:pt>
                <c:pt idx="128">
                  <c:v>0,0384</c:v>
                </c:pt>
                <c:pt idx="129">
                  <c:v>0,0387</c:v>
                </c:pt>
                <c:pt idx="130">
                  <c:v>0,039</c:v>
                </c:pt>
                <c:pt idx="131">
                  <c:v>0,0393</c:v>
                </c:pt>
                <c:pt idx="132">
                  <c:v>0,0396</c:v>
                </c:pt>
                <c:pt idx="133">
                  <c:v>0,0399</c:v>
                </c:pt>
                <c:pt idx="134">
                  <c:v>0,0402</c:v>
                </c:pt>
                <c:pt idx="135">
                  <c:v>0,0405</c:v>
                </c:pt>
                <c:pt idx="136">
                  <c:v>0,0408</c:v>
                </c:pt>
                <c:pt idx="137">
                  <c:v>0,0411</c:v>
                </c:pt>
                <c:pt idx="138">
                  <c:v>0,0414</c:v>
                </c:pt>
                <c:pt idx="139">
                  <c:v>0,0417</c:v>
                </c:pt>
                <c:pt idx="140">
                  <c:v>0,042</c:v>
                </c:pt>
                <c:pt idx="141">
                  <c:v>0,0423</c:v>
                </c:pt>
                <c:pt idx="142">
                  <c:v>0,0426</c:v>
                </c:pt>
                <c:pt idx="143">
                  <c:v>0,0429</c:v>
                </c:pt>
                <c:pt idx="144">
                  <c:v>0,0432</c:v>
                </c:pt>
                <c:pt idx="145">
                  <c:v>0,0435</c:v>
                </c:pt>
                <c:pt idx="146">
                  <c:v>0,0438</c:v>
                </c:pt>
                <c:pt idx="147">
                  <c:v>0,0441</c:v>
                </c:pt>
                <c:pt idx="148">
                  <c:v>0,0444</c:v>
                </c:pt>
                <c:pt idx="149">
                  <c:v>0,0447</c:v>
                </c:pt>
                <c:pt idx="150">
                  <c:v>0,045</c:v>
                </c:pt>
                <c:pt idx="151">
                  <c:v>0,0453</c:v>
                </c:pt>
                <c:pt idx="152">
                  <c:v>0,0456</c:v>
                </c:pt>
                <c:pt idx="153">
                  <c:v>0,0459</c:v>
                </c:pt>
                <c:pt idx="154">
                  <c:v>0,0462</c:v>
                </c:pt>
                <c:pt idx="155">
                  <c:v>0,0465</c:v>
                </c:pt>
                <c:pt idx="156">
                  <c:v>0,0468</c:v>
                </c:pt>
                <c:pt idx="157">
                  <c:v>0,0471</c:v>
                </c:pt>
                <c:pt idx="158">
                  <c:v>0,0474</c:v>
                </c:pt>
                <c:pt idx="159">
                  <c:v>0,0477</c:v>
                </c:pt>
                <c:pt idx="160">
                  <c:v>0,048</c:v>
                </c:pt>
                <c:pt idx="161">
                  <c:v>0,0483</c:v>
                </c:pt>
                <c:pt idx="162">
                  <c:v>0,0486</c:v>
                </c:pt>
                <c:pt idx="163">
                  <c:v>0,0489</c:v>
                </c:pt>
                <c:pt idx="164">
                  <c:v>0,0492</c:v>
                </c:pt>
                <c:pt idx="165">
                  <c:v>0,0495</c:v>
                </c:pt>
                <c:pt idx="166">
                  <c:v>0,0498</c:v>
                </c:pt>
                <c:pt idx="167">
                  <c:v>0,0501</c:v>
                </c:pt>
                <c:pt idx="168">
                  <c:v>0,0504</c:v>
                </c:pt>
                <c:pt idx="169">
                  <c:v>0,0507</c:v>
                </c:pt>
                <c:pt idx="170">
                  <c:v>0,051</c:v>
                </c:pt>
                <c:pt idx="171">
                  <c:v>0,0513</c:v>
                </c:pt>
                <c:pt idx="172">
                  <c:v>0,0516</c:v>
                </c:pt>
                <c:pt idx="173">
                  <c:v>0,0519</c:v>
                </c:pt>
                <c:pt idx="174">
                  <c:v>0,0522</c:v>
                </c:pt>
                <c:pt idx="175">
                  <c:v>0,0525</c:v>
                </c:pt>
                <c:pt idx="176">
                  <c:v>0,0528</c:v>
                </c:pt>
                <c:pt idx="177">
                  <c:v>0,0531</c:v>
                </c:pt>
                <c:pt idx="178">
                  <c:v>0,0534</c:v>
                </c:pt>
                <c:pt idx="179">
                  <c:v>0,0537</c:v>
                </c:pt>
                <c:pt idx="180">
                  <c:v>0,054</c:v>
                </c:pt>
                <c:pt idx="181">
                  <c:v>0,0543</c:v>
                </c:pt>
                <c:pt idx="182">
                  <c:v>0,0546</c:v>
                </c:pt>
                <c:pt idx="183">
                  <c:v>0,0549</c:v>
                </c:pt>
                <c:pt idx="184">
                  <c:v>0,0552</c:v>
                </c:pt>
                <c:pt idx="185">
                  <c:v>0,0555</c:v>
                </c:pt>
                <c:pt idx="186">
                  <c:v>0,0558</c:v>
                </c:pt>
                <c:pt idx="187">
                  <c:v>0,0561</c:v>
                </c:pt>
                <c:pt idx="188">
                  <c:v>0,0564</c:v>
                </c:pt>
                <c:pt idx="189">
                  <c:v>0,0567</c:v>
                </c:pt>
                <c:pt idx="190">
                  <c:v>0,057</c:v>
                </c:pt>
                <c:pt idx="191">
                  <c:v>0,0573</c:v>
                </c:pt>
                <c:pt idx="192">
                  <c:v>0,0576</c:v>
                </c:pt>
                <c:pt idx="193">
                  <c:v>0,0579</c:v>
                </c:pt>
                <c:pt idx="194">
                  <c:v>0,0582</c:v>
                </c:pt>
                <c:pt idx="195">
                  <c:v>0,0585</c:v>
                </c:pt>
                <c:pt idx="196">
                  <c:v>0,0588</c:v>
                </c:pt>
                <c:pt idx="197">
                  <c:v>0,0591</c:v>
                </c:pt>
                <c:pt idx="198">
                  <c:v>0,0594</c:v>
                </c:pt>
                <c:pt idx="199">
                  <c:v>0,0597</c:v>
                </c:pt>
                <c:pt idx="200">
                  <c:v>0,06</c:v>
                </c:pt>
                <c:pt idx="201">
                  <c:v>0,0603</c:v>
                </c:pt>
                <c:pt idx="202">
                  <c:v>0,0606</c:v>
                </c:pt>
                <c:pt idx="203">
                  <c:v>0,0609</c:v>
                </c:pt>
                <c:pt idx="204">
                  <c:v>0,0612</c:v>
                </c:pt>
                <c:pt idx="205">
                  <c:v>0,0615</c:v>
                </c:pt>
                <c:pt idx="206">
                  <c:v>0,0618</c:v>
                </c:pt>
                <c:pt idx="207">
                  <c:v>0,0621</c:v>
                </c:pt>
                <c:pt idx="208">
                  <c:v>0,0624</c:v>
                </c:pt>
                <c:pt idx="209">
                  <c:v>0,0627</c:v>
                </c:pt>
                <c:pt idx="210">
                  <c:v>0,063</c:v>
                </c:pt>
                <c:pt idx="211">
                  <c:v>0,0633</c:v>
                </c:pt>
                <c:pt idx="212">
                  <c:v>0,0636</c:v>
                </c:pt>
                <c:pt idx="213">
                  <c:v>0,0639</c:v>
                </c:pt>
                <c:pt idx="214">
                  <c:v>0,0642</c:v>
                </c:pt>
                <c:pt idx="215">
                  <c:v>0,0645</c:v>
                </c:pt>
                <c:pt idx="216">
                  <c:v>0,0648</c:v>
                </c:pt>
                <c:pt idx="217">
                  <c:v>0,0651</c:v>
                </c:pt>
                <c:pt idx="218">
                  <c:v>0,0654</c:v>
                </c:pt>
                <c:pt idx="219">
                  <c:v>0,0657</c:v>
                </c:pt>
                <c:pt idx="220">
                  <c:v>0,066</c:v>
                </c:pt>
                <c:pt idx="221">
                  <c:v>0,0663</c:v>
                </c:pt>
                <c:pt idx="222">
                  <c:v>0,0666</c:v>
                </c:pt>
                <c:pt idx="223">
                  <c:v>0,0669</c:v>
                </c:pt>
                <c:pt idx="224">
                  <c:v>0,0672</c:v>
                </c:pt>
                <c:pt idx="225">
                  <c:v>0,0675</c:v>
                </c:pt>
                <c:pt idx="226">
                  <c:v>0,0678</c:v>
                </c:pt>
                <c:pt idx="227">
                  <c:v>0,0681</c:v>
                </c:pt>
                <c:pt idx="228">
                  <c:v>0,0684</c:v>
                </c:pt>
                <c:pt idx="229">
                  <c:v>0,0687</c:v>
                </c:pt>
                <c:pt idx="230">
                  <c:v>0,069</c:v>
                </c:pt>
                <c:pt idx="231">
                  <c:v>0,0693</c:v>
                </c:pt>
                <c:pt idx="232">
                  <c:v>0,0696</c:v>
                </c:pt>
                <c:pt idx="233">
                  <c:v>0,0699</c:v>
                </c:pt>
                <c:pt idx="234">
                  <c:v>0,0702</c:v>
                </c:pt>
                <c:pt idx="235">
                  <c:v>0,0705</c:v>
                </c:pt>
                <c:pt idx="236">
                  <c:v>0,0708</c:v>
                </c:pt>
                <c:pt idx="237">
                  <c:v>0,0711</c:v>
                </c:pt>
                <c:pt idx="238">
                  <c:v>0,0714</c:v>
                </c:pt>
                <c:pt idx="239">
                  <c:v>0,0717</c:v>
                </c:pt>
                <c:pt idx="240">
                  <c:v>0,072</c:v>
                </c:pt>
                <c:pt idx="241">
                  <c:v>0,0723</c:v>
                </c:pt>
                <c:pt idx="242">
                  <c:v>0,0726</c:v>
                </c:pt>
                <c:pt idx="243">
                  <c:v>0,0729</c:v>
                </c:pt>
                <c:pt idx="244">
                  <c:v>0,0732</c:v>
                </c:pt>
                <c:pt idx="245">
                  <c:v>0,0735</c:v>
                </c:pt>
                <c:pt idx="246">
                  <c:v>0,0738</c:v>
                </c:pt>
                <c:pt idx="247">
                  <c:v>0,0741</c:v>
                </c:pt>
                <c:pt idx="248">
                  <c:v>0,0744</c:v>
                </c:pt>
                <c:pt idx="249">
                  <c:v>0,0747</c:v>
                </c:pt>
                <c:pt idx="250">
                  <c:v>0,075</c:v>
                </c:pt>
                <c:pt idx="251">
                  <c:v>0,0753</c:v>
                </c:pt>
                <c:pt idx="252">
                  <c:v>0,0756</c:v>
                </c:pt>
                <c:pt idx="253">
                  <c:v>0,0759</c:v>
                </c:pt>
                <c:pt idx="254">
                  <c:v>0,0762</c:v>
                </c:pt>
                <c:pt idx="255">
                  <c:v>0,0765</c:v>
                </c:pt>
                <c:pt idx="256">
                  <c:v>0,0768</c:v>
                </c:pt>
                <c:pt idx="257">
                  <c:v>0,0771</c:v>
                </c:pt>
                <c:pt idx="258">
                  <c:v>0,0774</c:v>
                </c:pt>
                <c:pt idx="259">
                  <c:v>0,0777</c:v>
                </c:pt>
                <c:pt idx="260">
                  <c:v>0,078</c:v>
                </c:pt>
                <c:pt idx="261">
                  <c:v>0,0783</c:v>
                </c:pt>
                <c:pt idx="262">
                  <c:v>0,0786</c:v>
                </c:pt>
                <c:pt idx="263">
                  <c:v>0,0789</c:v>
                </c:pt>
                <c:pt idx="264">
                  <c:v>0,0792</c:v>
                </c:pt>
                <c:pt idx="265">
                  <c:v>0,0795</c:v>
                </c:pt>
                <c:pt idx="266">
                  <c:v>0,0798</c:v>
                </c:pt>
                <c:pt idx="267">
                  <c:v>0,0801</c:v>
                </c:pt>
                <c:pt idx="268">
                  <c:v>0,0804</c:v>
                </c:pt>
                <c:pt idx="269">
                  <c:v>0,0807</c:v>
                </c:pt>
                <c:pt idx="270">
                  <c:v>0,081</c:v>
                </c:pt>
                <c:pt idx="271">
                  <c:v>0,0813</c:v>
                </c:pt>
                <c:pt idx="272">
                  <c:v>0,0816</c:v>
                </c:pt>
                <c:pt idx="273">
                  <c:v>0,0819</c:v>
                </c:pt>
                <c:pt idx="274">
                  <c:v>0,0822</c:v>
                </c:pt>
                <c:pt idx="275">
                  <c:v>0,0825</c:v>
                </c:pt>
                <c:pt idx="276">
                  <c:v>0,0828</c:v>
                </c:pt>
                <c:pt idx="277">
                  <c:v>0,0831</c:v>
                </c:pt>
                <c:pt idx="278">
                  <c:v>0,0834</c:v>
                </c:pt>
                <c:pt idx="279">
                  <c:v>0,0837</c:v>
                </c:pt>
                <c:pt idx="280">
                  <c:v>0,084</c:v>
                </c:pt>
                <c:pt idx="281">
                  <c:v>0,0843</c:v>
                </c:pt>
                <c:pt idx="282">
                  <c:v>0,0846</c:v>
                </c:pt>
                <c:pt idx="283">
                  <c:v>0,0849</c:v>
                </c:pt>
                <c:pt idx="284">
                  <c:v>0,0852</c:v>
                </c:pt>
                <c:pt idx="285">
                  <c:v>0,0855</c:v>
                </c:pt>
                <c:pt idx="286">
                  <c:v>0,0858</c:v>
                </c:pt>
                <c:pt idx="287">
                  <c:v>0,0861</c:v>
                </c:pt>
                <c:pt idx="288">
                  <c:v>0,0864</c:v>
                </c:pt>
                <c:pt idx="289">
                  <c:v>0,0867</c:v>
                </c:pt>
                <c:pt idx="290">
                  <c:v>0,087</c:v>
                </c:pt>
                <c:pt idx="291">
                  <c:v>0,0873</c:v>
                </c:pt>
                <c:pt idx="292">
                  <c:v>0,0876</c:v>
                </c:pt>
                <c:pt idx="293">
                  <c:v>0,0879</c:v>
                </c:pt>
                <c:pt idx="294">
                  <c:v>0,0882</c:v>
                </c:pt>
                <c:pt idx="295">
                  <c:v>0,0885</c:v>
                </c:pt>
                <c:pt idx="296">
                  <c:v>0,0888</c:v>
                </c:pt>
                <c:pt idx="297">
                  <c:v>0,0891</c:v>
                </c:pt>
                <c:pt idx="298">
                  <c:v>0,0894</c:v>
                </c:pt>
                <c:pt idx="299">
                  <c:v>0,0897</c:v>
                </c:pt>
                <c:pt idx="300">
                  <c:v>0,09</c:v>
                </c:pt>
                <c:pt idx="301">
                  <c:v>0,0903</c:v>
                </c:pt>
                <c:pt idx="302">
                  <c:v>0,0906</c:v>
                </c:pt>
                <c:pt idx="303">
                  <c:v>0,0909</c:v>
                </c:pt>
                <c:pt idx="304">
                  <c:v>0,0912</c:v>
                </c:pt>
                <c:pt idx="305">
                  <c:v>0,0915</c:v>
                </c:pt>
                <c:pt idx="306">
                  <c:v>0,0918</c:v>
                </c:pt>
                <c:pt idx="307">
                  <c:v>0,0921</c:v>
                </c:pt>
                <c:pt idx="308">
                  <c:v>0,0924</c:v>
                </c:pt>
                <c:pt idx="309">
                  <c:v>0,0927</c:v>
                </c:pt>
                <c:pt idx="310">
                  <c:v>0,093</c:v>
                </c:pt>
                <c:pt idx="311">
                  <c:v>0,0933</c:v>
                </c:pt>
                <c:pt idx="312">
                  <c:v>0,0936</c:v>
                </c:pt>
                <c:pt idx="313">
                  <c:v>0,0939</c:v>
                </c:pt>
                <c:pt idx="314">
                  <c:v>0,0942</c:v>
                </c:pt>
                <c:pt idx="315">
                  <c:v>0,0945</c:v>
                </c:pt>
                <c:pt idx="316">
                  <c:v>0,0948</c:v>
                </c:pt>
                <c:pt idx="317">
                  <c:v>0,0951</c:v>
                </c:pt>
                <c:pt idx="318">
                  <c:v>0,0954</c:v>
                </c:pt>
                <c:pt idx="319">
                  <c:v>0,0957</c:v>
                </c:pt>
                <c:pt idx="320">
                  <c:v>0,096</c:v>
                </c:pt>
                <c:pt idx="321">
                  <c:v>0,0963</c:v>
                </c:pt>
                <c:pt idx="322">
                  <c:v>0,0966</c:v>
                </c:pt>
                <c:pt idx="323">
                  <c:v>0,0969</c:v>
                </c:pt>
                <c:pt idx="324">
                  <c:v>0,0972</c:v>
                </c:pt>
                <c:pt idx="325">
                  <c:v>0,0975</c:v>
                </c:pt>
                <c:pt idx="326">
                  <c:v>0,0978</c:v>
                </c:pt>
                <c:pt idx="327">
                  <c:v>0,0981</c:v>
                </c:pt>
                <c:pt idx="328">
                  <c:v>0,0984</c:v>
                </c:pt>
                <c:pt idx="329">
                  <c:v>0,0987</c:v>
                </c:pt>
                <c:pt idx="330">
                  <c:v>0,099</c:v>
                </c:pt>
                <c:pt idx="331">
                  <c:v>0,0993</c:v>
                </c:pt>
                <c:pt idx="332">
                  <c:v>0,0996</c:v>
                </c:pt>
                <c:pt idx="333">
                  <c:v>0,0999</c:v>
                </c:pt>
                <c:pt idx="334">
                  <c:v>0,1002</c:v>
                </c:pt>
                <c:pt idx="335">
                  <c:v>0,1005</c:v>
                </c:pt>
                <c:pt idx="336">
                  <c:v>0,1008</c:v>
                </c:pt>
                <c:pt idx="337">
                  <c:v>0,1011</c:v>
                </c:pt>
                <c:pt idx="338">
                  <c:v>0,1014</c:v>
                </c:pt>
                <c:pt idx="339">
                  <c:v>0,1017</c:v>
                </c:pt>
                <c:pt idx="340">
                  <c:v>0,102</c:v>
                </c:pt>
                <c:pt idx="341">
                  <c:v>0,1023</c:v>
                </c:pt>
                <c:pt idx="342">
                  <c:v>0,1026</c:v>
                </c:pt>
                <c:pt idx="343">
                  <c:v>0,1029</c:v>
                </c:pt>
                <c:pt idx="344">
                  <c:v>0,1032</c:v>
                </c:pt>
                <c:pt idx="345">
                  <c:v>0,1035</c:v>
                </c:pt>
                <c:pt idx="346">
                  <c:v>0,1038</c:v>
                </c:pt>
                <c:pt idx="347">
                  <c:v>0,1041</c:v>
                </c:pt>
                <c:pt idx="348">
                  <c:v>0,1044</c:v>
                </c:pt>
                <c:pt idx="349">
                  <c:v>0,1047</c:v>
                </c:pt>
                <c:pt idx="350">
                  <c:v>0,105</c:v>
                </c:pt>
                <c:pt idx="351">
                  <c:v>0,1053</c:v>
                </c:pt>
                <c:pt idx="352">
                  <c:v>0,1056</c:v>
                </c:pt>
                <c:pt idx="353">
                  <c:v>0,1059</c:v>
                </c:pt>
                <c:pt idx="354">
                  <c:v>0,1062</c:v>
                </c:pt>
                <c:pt idx="355">
                  <c:v>0,1065</c:v>
                </c:pt>
                <c:pt idx="356">
                  <c:v>0,1068</c:v>
                </c:pt>
                <c:pt idx="357">
                  <c:v>0,1071</c:v>
                </c:pt>
                <c:pt idx="358">
                  <c:v>0,1074</c:v>
                </c:pt>
                <c:pt idx="359">
                  <c:v>0,1077</c:v>
                </c:pt>
                <c:pt idx="360">
                  <c:v>0,108</c:v>
                </c:pt>
                <c:pt idx="361">
                  <c:v>0,1083</c:v>
                </c:pt>
                <c:pt idx="362">
                  <c:v>0,1086</c:v>
                </c:pt>
                <c:pt idx="363">
                  <c:v>0,1089</c:v>
                </c:pt>
                <c:pt idx="364">
                  <c:v>0,1092</c:v>
                </c:pt>
                <c:pt idx="365">
                  <c:v>0,1095</c:v>
                </c:pt>
                <c:pt idx="366">
                  <c:v>0,1098</c:v>
                </c:pt>
                <c:pt idx="367">
                  <c:v>0,1101</c:v>
                </c:pt>
                <c:pt idx="368">
                  <c:v>0,1104</c:v>
                </c:pt>
                <c:pt idx="369">
                  <c:v>0,1107</c:v>
                </c:pt>
                <c:pt idx="370">
                  <c:v>0,111</c:v>
                </c:pt>
                <c:pt idx="371">
                  <c:v>0,1113</c:v>
                </c:pt>
                <c:pt idx="372">
                  <c:v>0,1116</c:v>
                </c:pt>
                <c:pt idx="373">
                  <c:v>0,1119</c:v>
                </c:pt>
                <c:pt idx="374">
                  <c:v>0,1122</c:v>
                </c:pt>
                <c:pt idx="375">
                  <c:v>0,1125</c:v>
                </c:pt>
                <c:pt idx="376">
                  <c:v>0,1128</c:v>
                </c:pt>
                <c:pt idx="377">
                  <c:v>0,1131</c:v>
                </c:pt>
                <c:pt idx="378">
                  <c:v>0,1134</c:v>
                </c:pt>
                <c:pt idx="379">
                  <c:v>0,1137</c:v>
                </c:pt>
                <c:pt idx="380">
                  <c:v>0,114</c:v>
                </c:pt>
                <c:pt idx="381">
                  <c:v>0,1143</c:v>
                </c:pt>
                <c:pt idx="382">
                  <c:v>0,1146</c:v>
                </c:pt>
                <c:pt idx="383">
                  <c:v>0,1149</c:v>
                </c:pt>
                <c:pt idx="384">
                  <c:v>0,1152</c:v>
                </c:pt>
                <c:pt idx="385">
                  <c:v>0,1155</c:v>
                </c:pt>
                <c:pt idx="386">
                  <c:v>0,1158</c:v>
                </c:pt>
                <c:pt idx="387">
                  <c:v>0,1161</c:v>
                </c:pt>
                <c:pt idx="388">
                  <c:v>0,1164</c:v>
                </c:pt>
                <c:pt idx="389">
                  <c:v>0,1167</c:v>
                </c:pt>
                <c:pt idx="390">
                  <c:v>0,117</c:v>
                </c:pt>
                <c:pt idx="391">
                  <c:v>0,1173</c:v>
                </c:pt>
                <c:pt idx="392">
                  <c:v>0,1176</c:v>
                </c:pt>
                <c:pt idx="393">
                  <c:v>0,1179</c:v>
                </c:pt>
                <c:pt idx="394">
                  <c:v>0,1182</c:v>
                </c:pt>
                <c:pt idx="395">
                  <c:v>0,1185</c:v>
                </c:pt>
                <c:pt idx="396">
                  <c:v>0,1188</c:v>
                </c:pt>
                <c:pt idx="397">
                  <c:v>0,1191</c:v>
                </c:pt>
                <c:pt idx="398">
                  <c:v>0,1194</c:v>
                </c:pt>
                <c:pt idx="399">
                  <c:v>0,1197</c:v>
                </c:pt>
                <c:pt idx="400">
                  <c:v>0,12</c:v>
                </c:pt>
                <c:pt idx="401">
                  <c:v>0,1203</c:v>
                </c:pt>
                <c:pt idx="402">
                  <c:v>0,1206</c:v>
                </c:pt>
                <c:pt idx="403">
                  <c:v>0,1209</c:v>
                </c:pt>
                <c:pt idx="404">
                  <c:v>0,1212</c:v>
                </c:pt>
                <c:pt idx="405">
                  <c:v>0,1215</c:v>
                </c:pt>
                <c:pt idx="406">
                  <c:v>0,1218</c:v>
                </c:pt>
                <c:pt idx="407">
                  <c:v>0,1221</c:v>
                </c:pt>
                <c:pt idx="408">
                  <c:v>0,1224</c:v>
                </c:pt>
                <c:pt idx="409">
                  <c:v>0,1227</c:v>
                </c:pt>
                <c:pt idx="410">
                  <c:v>0,123</c:v>
                </c:pt>
                <c:pt idx="411">
                  <c:v>0,1233</c:v>
                </c:pt>
                <c:pt idx="412">
                  <c:v>0,1236</c:v>
                </c:pt>
                <c:pt idx="413">
                  <c:v>0,1239</c:v>
                </c:pt>
                <c:pt idx="414">
                  <c:v>0,1242</c:v>
                </c:pt>
                <c:pt idx="415">
                  <c:v>0,1245</c:v>
                </c:pt>
                <c:pt idx="416">
                  <c:v>0,1248</c:v>
                </c:pt>
                <c:pt idx="417">
                  <c:v>0,1251</c:v>
                </c:pt>
                <c:pt idx="418">
                  <c:v>0,1254</c:v>
                </c:pt>
                <c:pt idx="419">
                  <c:v>0,1257</c:v>
                </c:pt>
                <c:pt idx="420">
                  <c:v>0,126</c:v>
                </c:pt>
                <c:pt idx="421">
                  <c:v>0,1263</c:v>
                </c:pt>
                <c:pt idx="422">
                  <c:v>0,1266</c:v>
                </c:pt>
                <c:pt idx="423">
                  <c:v>0,1269</c:v>
                </c:pt>
                <c:pt idx="424">
                  <c:v>0,1272</c:v>
                </c:pt>
                <c:pt idx="425">
                  <c:v>0,1275</c:v>
                </c:pt>
                <c:pt idx="426">
                  <c:v>0,1278</c:v>
                </c:pt>
                <c:pt idx="427">
                  <c:v>0,1281</c:v>
                </c:pt>
                <c:pt idx="428">
                  <c:v>0,1284</c:v>
                </c:pt>
                <c:pt idx="429">
                  <c:v>0,1287</c:v>
                </c:pt>
                <c:pt idx="430">
                  <c:v>0,129</c:v>
                </c:pt>
                <c:pt idx="431">
                  <c:v>0,1293</c:v>
                </c:pt>
                <c:pt idx="432">
                  <c:v>0,1296</c:v>
                </c:pt>
                <c:pt idx="433">
                  <c:v>0,1299</c:v>
                </c:pt>
                <c:pt idx="434">
                  <c:v>0,1302</c:v>
                </c:pt>
                <c:pt idx="435">
                  <c:v>0,1305</c:v>
                </c:pt>
                <c:pt idx="436">
                  <c:v>0,1308</c:v>
                </c:pt>
                <c:pt idx="437">
                  <c:v>0,1311</c:v>
                </c:pt>
                <c:pt idx="438">
                  <c:v>0,1314</c:v>
                </c:pt>
                <c:pt idx="439">
                  <c:v>0,1317</c:v>
                </c:pt>
                <c:pt idx="440">
                  <c:v>0,132</c:v>
                </c:pt>
                <c:pt idx="441">
                  <c:v>0,1323</c:v>
                </c:pt>
                <c:pt idx="442">
                  <c:v>0,1326</c:v>
                </c:pt>
                <c:pt idx="443">
                  <c:v>0,1329</c:v>
                </c:pt>
                <c:pt idx="444">
                  <c:v>0,1332</c:v>
                </c:pt>
                <c:pt idx="445">
                  <c:v>0,1335</c:v>
                </c:pt>
                <c:pt idx="446">
                  <c:v>0,1338</c:v>
                </c:pt>
                <c:pt idx="447">
                  <c:v>0,1341</c:v>
                </c:pt>
                <c:pt idx="448">
                  <c:v>0,1344</c:v>
                </c:pt>
                <c:pt idx="449">
                  <c:v>0,1347</c:v>
                </c:pt>
                <c:pt idx="450">
                  <c:v>0,135</c:v>
                </c:pt>
                <c:pt idx="451">
                  <c:v>0,1353</c:v>
                </c:pt>
                <c:pt idx="452">
                  <c:v>0,1356</c:v>
                </c:pt>
                <c:pt idx="453">
                  <c:v>0,1359</c:v>
                </c:pt>
                <c:pt idx="454">
                  <c:v>0,1362</c:v>
                </c:pt>
                <c:pt idx="455">
                  <c:v>0,1365</c:v>
                </c:pt>
                <c:pt idx="456">
                  <c:v>0,1368</c:v>
                </c:pt>
                <c:pt idx="457">
                  <c:v>0,1371</c:v>
                </c:pt>
                <c:pt idx="458">
                  <c:v>0,1374</c:v>
                </c:pt>
                <c:pt idx="459">
                  <c:v>0,1377</c:v>
                </c:pt>
                <c:pt idx="460">
                  <c:v>0,138</c:v>
                </c:pt>
                <c:pt idx="461">
                  <c:v>0,1383</c:v>
                </c:pt>
                <c:pt idx="462">
                  <c:v>0,1386</c:v>
                </c:pt>
                <c:pt idx="463">
                  <c:v>0,1389</c:v>
                </c:pt>
                <c:pt idx="464">
                  <c:v>0,1392</c:v>
                </c:pt>
                <c:pt idx="465">
                  <c:v>0,1395</c:v>
                </c:pt>
                <c:pt idx="466">
                  <c:v>0,1398</c:v>
                </c:pt>
                <c:pt idx="467">
                  <c:v>0,1401</c:v>
                </c:pt>
                <c:pt idx="468">
                  <c:v>0,1404</c:v>
                </c:pt>
                <c:pt idx="469">
                  <c:v>0,1407</c:v>
                </c:pt>
                <c:pt idx="470">
                  <c:v>0,141</c:v>
                </c:pt>
                <c:pt idx="471">
                  <c:v>0,1413</c:v>
                </c:pt>
                <c:pt idx="472">
                  <c:v>0,1416</c:v>
                </c:pt>
                <c:pt idx="473">
                  <c:v>0,1419</c:v>
                </c:pt>
                <c:pt idx="474">
                  <c:v>0,1422</c:v>
                </c:pt>
                <c:pt idx="475">
                  <c:v>0,1425</c:v>
                </c:pt>
                <c:pt idx="476">
                  <c:v>0,1428</c:v>
                </c:pt>
                <c:pt idx="477">
                  <c:v>0,1431</c:v>
                </c:pt>
                <c:pt idx="478">
                  <c:v>0,1434</c:v>
                </c:pt>
                <c:pt idx="479">
                  <c:v>0,1437</c:v>
                </c:pt>
                <c:pt idx="480">
                  <c:v>0,144</c:v>
                </c:pt>
                <c:pt idx="481">
                  <c:v>0,1443</c:v>
                </c:pt>
                <c:pt idx="482">
                  <c:v>0,1446</c:v>
                </c:pt>
                <c:pt idx="483">
                  <c:v>0,1449</c:v>
                </c:pt>
                <c:pt idx="484">
                  <c:v>0,1452</c:v>
                </c:pt>
                <c:pt idx="485">
                  <c:v>0,1455</c:v>
                </c:pt>
                <c:pt idx="486">
                  <c:v>0,1458</c:v>
                </c:pt>
                <c:pt idx="487">
                  <c:v>0,1461</c:v>
                </c:pt>
                <c:pt idx="488">
                  <c:v>0,1464</c:v>
                </c:pt>
                <c:pt idx="489">
                  <c:v>0,1467</c:v>
                </c:pt>
                <c:pt idx="490">
                  <c:v>0,147</c:v>
                </c:pt>
                <c:pt idx="491">
                  <c:v>0,1473</c:v>
                </c:pt>
                <c:pt idx="492">
                  <c:v>0,1476</c:v>
                </c:pt>
                <c:pt idx="493">
                  <c:v>0,1479</c:v>
                </c:pt>
                <c:pt idx="494">
                  <c:v>0,1482</c:v>
                </c:pt>
                <c:pt idx="495">
                  <c:v>0,1485</c:v>
                </c:pt>
                <c:pt idx="496">
                  <c:v>0,1488</c:v>
                </c:pt>
                <c:pt idx="497">
                  <c:v>0,1491</c:v>
                </c:pt>
                <c:pt idx="498">
                  <c:v>0,1494</c:v>
                </c:pt>
                <c:pt idx="499">
                  <c:v>0,1497</c:v>
                </c:pt>
                <c:pt idx="500">
                  <c:v>0,15</c:v>
                </c:pt>
              </c:strCache>
            </c:strRef>
          </c:xVal>
          <c:yVal>
            <c:numRef>
              <c:f>wyniki!$C:$C</c:f>
              <c:numCache>
                <c:formatCode>General</c:formatCode>
                <c:ptCount val="1048576"/>
                <c:pt idx="0">
                  <c:v>0</c:v>
                </c:pt>
                <c:pt idx="1">
                  <c:v>3.0288411652089245E-2</c:v>
                </c:pt>
                <c:pt idx="2">
                  <c:v>6.0575520693535029E-2</c:v>
                </c:pt>
                <c:pt idx="3">
                  <c:v>9.0860024569715162E-2</c:v>
                </c:pt>
                <c:pt idx="4">
                  <c:v>0.12114062083804751</c:v>
                </c:pt>
                <c:pt idx="5">
                  <c:v>0.15141600722400403</c:v>
                </c:pt>
                <c:pt idx="6">
                  <c:v>0.18168488167711758</c:v>
                </c:pt>
                <c:pt idx="7">
                  <c:v>0.21194594242697901</c:v>
                </c:pt>
                <c:pt idx="8">
                  <c:v>0.24219788803922235</c:v>
                </c:pt>
                <c:pt idx="9">
                  <c:v>0.27243941747149547</c:v>
                </c:pt>
                <c:pt idx="10">
                  <c:v>0.30266923012941371</c:v>
                </c:pt>
                <c:pt idx="11">
                  <c:v>0.33288602592249472</c:v>
                </c:pt>
                <c:pt idx="12">
                  <c:v>0.36308850532007086</c:v>
                </c:pt>
                <c:pt idx="13">
                  <c:v>0.39327536940717861</c:v>
                </c:pt>
                <c:pt idx="14">
                  <c:v>0.42344531994042012</c:v>
                </c:pt>
                <c:pt idx="15">
                  <c:v>0.4535970594037973</c:v>
                </c:pt>
                <c:pt idx="16">
                  <c:v>0.48372929106451368</c:v>
                </c:pt>
                <c:pt idx="17">
                  <c:v>0.51384071902874284</c:v>
                </c:pt>
                <c:pt idx="18">
                  <c:v>0.54393004829736091</c:v>
                </c:pt>
                <c:pt idx="19">
                  <c:v>0.57399598482164016</c:v>
                </c:pt>
                <c:pt idx="20">
                  <c:v>0.60403723555890254</c:v>
                </c:pt>
                <c:pt idx="21">
                  <c:v>0.63405250852812844</c:v>
                </c:pt>
                <c:pt idx="22">
                  <c:v>0.66404051286552279</c:v>
                </c:pt>
                <c:pt idx="23">
                  <c:v>0.69399995888002841</c:v>
                </c:pt>
                <c:pt idx="24">
                  <c:v>0.72392955810879378</c:v>
                </c:pt>
                <c:pt idx="25">
                  <c:v>0.75382802337258514</c:v>
                </c:pt>
                <c:pt idx="26">
                  <c:v>0.78369406883114334</c:v>
                </c:pt>
                <c:pt idx="27">
                  <c:v>0.81352641003848514</c:v>
                </c:pt>
                <c:pt idx="28">
                  <c:v>0.84332376399814246</c:v>
                </c:pt>
                <c:pt idx="29">
                  <c:v>0.87308484921833973</c:v>
                </c:pt>
                <c:pt idx="30">
                  <c:v>0.90280838576710809</c:v>
                </c:pt>
                <c:pt idx="31">
                  <c:v>0.93249309532733038</c:v>
                </c:pt>
                <c:pt idx="32">
                  <c:v>0.96213770125171738</c:v>
                </c:pt>
                <c:pt idx="33">
                  <c:v>0.99174092861771368</c:v>
                </c:pt>
                <c:pt idx="34">
                  <c:v>1.0213015042823264</c:v>
                </c:pt>
                <c:pt idx="35">
                  <c:v>1.0508181569368804</c:v>
                </c:pt>
                <c:pt idx="36">
                  <c:v>1.0802896171616934</c:v>
                </c:pt>
                <c:pt idx="37">
                  <c:v>1.1097146174806691</c:v>
                </c:pt>
                <c:pt idx="38">
                  <c:v>1.1390918924158073</c:v>
                </c:pt>
                <c:pt idx="39">
                  <c:v>1.1684201785416288</c:v>
                </c:pt>
                <c:pt idx="40">
                  <c:v>1.197698214539511</c:v>
                </c:pt>
                <c:pt idx="41">
                  <c:v>1.2269247412519337</c:v>
                </c:pt>
                <c:pt idx="42">
                  <c:v>1.2560985017366313</c:v>
                </c:pt>
                <c:pt idx="43">
                  <c:v>1.285218241320649</c:v>
                </c:pt>
                <c:pt idx="44">
                  <c:v>1.3142827076543051</c:v>
                </c:pt>
                <c:pt idx="45">
                  <c:v>1.3432906507650488</c:v>
                </c:pt>
                <c:pt idx="46">
                  <c:v>1.3722408231112164</c:v>
                </c:pt>
                <c:pt idx="47">
                  <c:v>1.4011319796356863</c:v>
                </c:pt>
                <c:pt idx="48">
                  <c:v>1.4299628778194244</c:v>
                </c:pt>
                <c:pt idx="49">
                  <c:v>1.458732277734921</c:v>
                </c:pt>
                <c:pt idx="50">
                  <c:v>1.487438942099516</c:v>
                </c:pt>
                <c:pt idx="51">
                  <c:v>1.5160816363286109</c:v>
                </c:pt>
                <c:pt idx="52">
                  <c:v>1.5446591285887645</c:v>
                </c:pt>
                <c:pt idx="53">
                  <c:v>1.5731701898506698</c:v>
                </c:pt>
                <c:pt idx="54">
                  <c:v>1.6016135939420109</c:v>
                </c:pt>
                <c:pt idx="55">
                  <c:v>1.6299881176001971</c:v>
                </c:pt>
                <c:pt idx="56">
                  <c:v>1.6582925405249718</c:v>
                </c:pt>
                <c:pt idx="57">
                  <c:v>1.686525645430893</c:v>
                </c:pt>
                <c:pt idx="58">
                  <c:v>1.7146862180996856</c:v>
                </c:pt>
                <c:pt idx="59">
                  <c:v>1.7427730474324616</c:v>
                </c:pt>
                <c:pt idx="60">
                  <c:v>1.7707849255018049</c:v>
                </c:pt>
                <c:pt idx="61">
                  <c:v>1.7987206476037199</c:v>
                </c:pt>
                <c:pt idx="62">
                  <c:v>1.8265790123094441</c:v>
                </c:pt>
                <c:pt idx="63">
                  <c:v>1.8543588215171161</c:v>
                </c:pt>
                <c:pt idx="64">
                  <c:v>1.8820588805033029</c:v>
                </c:pt>
                <c:pt idx="65">
                  <c:v>1.9096779979743814</c:v>
                </c:pt>
                <c:pt idx="66">
                  <c:v>1.9372149861177719</c:v>
                </c:pt>
                <c:pt idx="67">
                  <c:v>1.9646686606530217</c:v>
                </c:pt>
                <c:pt idx="68">
                  <c:v>1.9920378408827391</c:v>
                </c:pt>
                <c:pt idx="69">
                  <c:v>2.01932134974337</c:v>
                </c:pt>
                <c:pt idx="70">
                  <c:v>2.0465180138558199</c:v>
                </c:pt>
                <c:pt idx="71">
                  <c:v>2.0736266635759169</c:v>
                </c:pt>
                <c:pt idx="72">
                  <c:v>2.1006461330447181</c:v>
                </c:pt>
                <c:pt idx="73">
                  <c:v>2.1275752602386437</c:v>
                </c:pt>
                <c:pt idx="74">
                  <c:v>2.1544128870194559</c:v>
                </c:pt>
                <c:pt idx="75">
                  <c:v>2.1811578591840637</c:v>
                </c:pt>
                <c:pt idx="76">
                  <c:v>2.2078090265141679</c:v>
                </c:pt>
                <c:pt idx="77">
                  <c:v>2.2343652428257217</c:v>
                </c:pt>
                <c:pt idx="78">
                  <c:v>2.2608253660182274</c:v>
                </c:pt>
                <c:pt idx="79">
                  <c:v>2.2871882581238543</c:v>
                </c:pt>
                <c:pt idx="80">
                  <c:v>2.3134527853563789</c:v>
                </c:pt>
                <c:pt idx="81">
                  <c:v>2.3396178181599474</c:v>
                </c:pt>
                <c:pt idx="82">
                  <c:v>2.3656822312576513</c:v>
                </c:pt>
                <c:pt idx="83">
                  <c:v>2.3916449036999237</c:v>
                </c:pt>
                <c:pt idx="84">
                  <c:v>2.4175047189127477</c:v>
                </c:pt>
                <c:pt idx="85">
                  <c:v>2.4432605647456782</c:v>
                </c:pt>
                <c:pt idx="86">
                  <c:v>2.4689113335196677</c:v>
                </c:pt>
                <c:pt idx="87">
                  <c:v>2.4944559220747098</c:v>
                </c:pt>
                <c:pt idx="88">
                  <c:v>2.5198932318172806</c:v>
                </c:pt>
                <c:pt idx="89">
                  <c:v>2.545222168767582</c:v>
                </c:pt>
                <c:pt idx="90">
                  <c:v>2.5704416436065949</c:v>
                </c:pt>
                <c:pt idx="91">
                  <c:v>2.5955505717229279</c:v>
                </c:pt>
                <c:pt idx="92">
                  <c:v>2.6205478732594596</c:v>
                </c:pt>
                <c:pt idx="93">
                  <c:v>2.6454324731597816</c:v>
                </c:pt>
                <c:pt idx="94">
                  <c:v>2.6702033012144333</c:v>
                </c:pt>
                <c:pt idx="95">
                  <c:v>2.6948592921069294</c:v>
                </c:pt>
                <c:pt idx="96">
                  <c:v>2.7193993854595737</c:v>
                </c:pt>
                <c:pt idx="97">
                  <c:v>2.7438225258790636</c:v>
                </c:pt>
                <c:pt idx="98">
                  <c:v>2.768127663001879</c:v>
                </c:pt>
                <c:pt idx="99">
                  <c:v>2.7914433633538529</c:v>
                </c:pt>
                <c:pt idx="100">
                  <c:v>2.7912756290636009</c:v>
                </c:pt>
                <c:pt idx="101">
                  <c:v>2.7678817281682133</c:v>
                </c:pt>
                <c:pt idx="102">
                  <c:v>2.7435754000413644</c:v>
                </c:pt>
                <c:pt idx="103">
                  <c:v>2.719151079245957</c:v>
                </c:pt>
                <c:pt idx="104">
                  <c:v>2.6946098161962753</c:v>
                </c:pt>
                <c:pt idx="105">
                  <c:v>2.6699526663359276</c:v>
                </c:pt>
                <c:pt idx="106">
                  <c:v>2.6451806900924528</c:v>
                </c:pt>
                <c:pt idx="107">
                  <c:v>2.6202949528317161</c:v>
                </c:pt>
                <c:pt idx="108">
                  <c:v>2.5952965248120936</c:v>
                </c:pt>
                <c:pt idx="109">
                  <c:v>2.5701864811384394</c:v>
                </c:pt>
                <c:pt idx="110">
                  <c:v>2.5449659017158508</c:v>
                </c:pt>
                <c:pt idx="111">
                  <c:v>2.5196358712032252</c:v>
                </c:pt>
                <c:pt idx="112">
                  <c:v>2.4941974789666128</c:v>
                </c:pt>
                <c:pt idx="113">
                  <c:v>2.4686518190323636</c:v>
                </c:pt>
                <c:pt idx="114">
                  <c:v>2.4429999900400814</c:v>
                </c:pt>
                <c:pt idx="115">
                  <c:v>2.4172430951953681</c:v>
                </c:pt>
                <c:pt idx="116">
                  <c:v>2.3913822422223858</c:v>
                </c:pt>
                <c:pt idx="117">
                  <c:v>2.3654185433162107</c:v>
                </c:pt>
                <c:pt idx="118">
                  <c:v>2.3393531150950047</c:v>
                </c:pt>
                <c:pt idx="119">
                  <c:v>2.3131870785519903</c:v>
                </c:pt>
                <c:pt idx="120">
                  <c:v>2.2869215590072463</c:v>
                </c:pt>
                <c:pt idx="121">
                  <c:v>2.2605576860593026</c:v>
                </c:pt>
                <c:pt idx="122">
                  <c:v>2.2340965935365653</c:v>
                </c:pt>
                <c:pt idx="123">
                  <c:v>2.207539419448552</c:v>
                </c:pt>
                <c:pt idx="124">
                  <c:v>2.180887305936952</c:v>
                </c:pt>
                <c:pt idx="125">
                  <c:v>2.1541413992265035</c:v>
                </c:pt>
                <c:pt idx="126">
                  <c:v>2.1273028495757003</c:v>
                </c:pt>
                <c:pt idx="127">
                  <c:v>2.1003728112273206</c:v>
                </c:pt>
                <c:pt idx="128">
                  <c:v>2.0733524423587881</c:v>
                </c:pt>
                <c:pt idx="129">
                  <c:v>2.0462429050323636</c:v>
                </c:pt>
                <c:pt idx="130">
                  <c:v>2.0190453651451641</c:v>
                </c:pt>
                <c:pt idx="131">
                  <c:v>1.9917609923790245</c:v>
                </c:pt>
                <c:pt idx="132">
                  <c:v>1.9643909601501943</c:v>
                </c:pt>
                <c:pt idx="133">
                  <c:v>1.9369364455588693</c:v>
                </c:pt>
                <c:pt idx="134">
                  <c:v>1.9093986293385694</c:v>
                </c:pt>
                <c:pt idx="135">
                  <c:v>1.8817786958053602</c:v>
                </c:pt>
                <c:pt idx="136">
                  <c:v>1.8540778328069172</c:v>
                </c:pt>
                <c:pt idx="137">
                  <c:v>1.8262972316714423</c:v>
                </c:pt>
                <c:pt idx="138">
                  <c:v>1.7984380871564265</c:v>
                </c:pt>
                <c:pt idx="139">
                  <c:v>1.7705015973972678</c:v>
                </c:pt>
                <c:pt idx="140">
                  <c:v>1.7424889638557441</c:v>
                </c:pt>
                <c:pt idx="141">
                  <c:v>1.7144013912683407</c:v>
                </c:pt>
                <c:pt idx="142">
                  <c:v>1.6862400875944392</c:v>
                </c:pt>
                <c:pt idx="143">
                  <c:v>1.658006263964366</c:v>
                </c:pt>
                <c:pt idx="144">
                  <c:v>1.6297011346273063</c:v>
                </c:pt>
                <c:pt idx="145">
                  <c:v>1.6013259168990825</c:v>
                </c:pt>
                <c:pt idx="146">
                  <c:v>1.5728818311098016</c:v>
                </c:pt>
                <c:pt idx="147">
                  <c:v>1.5443701005513712</c:v>
                </c:pt>
                <c:pt idx="148">
                  <c:v>1.5157919514248925</c:v>
                </c:pt>
                <c:pt idx="149">
                  <c:v>1.4871486127879217</c:v>
                </c:pt>
                <c:pt idx="150">
                  <c:v>1.4584413165016141</c:v>
                </c:pt>
                <c:pt idx="151">
                  <c:v>1.429671297177745</c:v>
                </c:pt>
                <c:pt idx="152">
                  <c:v>1.4008397921256137</c:v>
                </c:pt>
                <c:pt idx="153">
                  <c:v>1.3719480412988294</c:v>
                </c:pt>
                <c:pt idx="154">
                  <c:v>1.3429972872419849</c:v>
                </c:pt>
                <c:pt idx="155">
                  <c:v>1.3139887750372197</c:v>
                </c:pt>
                <c:pt idx="156">
                  <c:v>1.2849237522506713</c:v>
                </c:pt>
                <c:pt idx="157">
                  <c:v>1.2558034688788231</c:v>
                </c:pt>
                <c:pt idx="158">
                  <c:v>1.2266291772947437</c:v>
                </c:pt>
                <c:pt idx="159">
                  <c:v>1.1974021321942285</c:v>
                </c:pt>
                <c:pt idx="160">
                  <c:v>1.1681235905418375</c:v>
                </c:pt>
                <c:pt idx="161">
                  <c:v>1.1387948115168369</c:v>
                </c:pt>
                <c:pt idx="162">
                  <c:v>1.1094170564590475</c:v>
                </c:pt>
                <c:pt idx="163">
                  <c:v>1.0799915888145972</c:v>
                </c:pt>
                <c:pt idx="164">
                  <c:v>1.0505196740815843</c:v>
                </c:pt>
                <c:pt idx="165">
                  <c:v>1.0210025797556519</c:v>
                </c:pt>
                <c:pt idx="166">
                  <c:v>0.99144157527547805</c:v>
                </c:pt>
                <c:pt idx="167">
                  <c:v>0.96183793196817935</c:v>
                </c:pt>
                <c:pt idx="168">
                  <c:v>0.93219292299463663</c:v>
                </c:pt>
                <c:pt idx="169">
                  <c:v>0.90250782329473989</c:v>
                </c:pt>
                <c:pt idx="170">
                  <c:v>0.87278390953255658</c:v>
                </c:pt>
                <c:pt idx="171">
                  <c:v>0.843022460041427</c:v>
                </c:pt>
                <c:pt idx="172">
                  <c:v>0.81322475476898615</c:v>
                </c:pt>
                <c:pt idx="173">
                  <c:v>0.7833920752221184</c:v>
                </c:pt>
                <c:pt idx="174">
                  <c:v>0.75352570441184274</c:v>
                </c:pt>
                <c:pt idx="175">
                  <c:v>0.7236269267981349</c:v>
                </c:pt>
                <c:pt idx="176">
                  <c:v>0.69369702823468671</c:v>
                </c:pt>
                <c:pt idx="177">
                  <c:v>0.66373729591360575</c:v>
                </c:pt>
                <c:pt idx="178">
                  <c:v>0.63374901831005681</c:v>
                </c:pt>
                <c:pt idx="179">
                  <c:v>0.6037334851268491</c:v>
                </c:pt>
                <c:pt idx="180">
                  <c:v>0.5736919872389693</c:v>
                </c:pt>
                <c:pt idx="181">
                  <c:v>0.54362581663806542</c:v>
                </c:pt>
                <c:pt idx="182">
                  <c:v>0.51353626637688299</c:v>
                </c:pt>
                <c:pt idx="183">
                  <c:v>0.48342463051365375</c:v>
                </c:pt>
                <c:pt idx="184">
                  <c:v>0.45329220405644255</c:v>
                </c:pt>
                <c:pt idx="185">
                  <c:v>0.42314028290745342</c:v>
                </c:pt>
                <c:pt idx="186">
                  <c:v>0.39297016380729671</c:v>
                </c:pt>
                <c:pt idx="187">
                  <c:v>0.36278314427922032</c:v>
                </c:pt>
                <c:pt idx="188">
                  <c:v>0.33258052257330656</c:v>
                </c:pt>
                <c:pt idx="189">
                  <c:v>0.30236359761063958</c:v>
                </c:pt>
                <c:pt idx="190">
                  <c:v>0.2721336689274419</c:v>
                </c:pt>
                <c:pt idx="191">
                  <c:v>0.24189203661918593</c:v>
                </c:pt>
                <c:pt idx="192">
                  <c:v>0.21164000128468069</c:v>
                </c:pt>
                <c:pt idx="193">
                  <c:v>0.181378863970137</c:v>
                </c:pt>
                <c:pt idx="194">
                  <c:v>0.15110992611321361</c:v>
                </c:pt>
                <c:pt idx="195">
                  <c:v>0.1208344894870465</c:v>
                </c:pt>
                <c:pt idx="196">
                  <c:v>9.055385614426345E-2</c:v>
                </c:pt>
                <c:pt idx="197">
                  <c:v>6.0269328360987029E-2</c:v>
                </c:pt>
                <c:pt idx="198">
                  <c:v>2.9982208580827462E-2</c:v>
                </c:pt>
                <c:pt idx="199">
                  <c:v>-3.0620064113116505E-4</c:v>
                </c:pt>
                <c:pt idx="200">
                  <c:v>-3.0594596694349916E-2</c:v>
                </c:pt>
                <c:pt idx="201">
                  <c:v>-6.0881676968856206E-2</c:v>
                </c:pt>
                <c:pt idx="202">
                  <c:v>-9.116613891126496E-2</c:v>
                </c:pt>
                <c:pt idx="203">
                  <c:v>-0.12144668008079758</c:v>
                </c:pt>
                <c:pt idx="204">
                  <c:v>-0.15172199820529556</c:v>
                </c:pt>
                <c:pt idx="205">
                  <c:v>-0.18199079123722756</c:v>
                </c:pt>
                <c:pt idx="206">
                  <c:v>-0.21225175740968608</c:v>
                </c:pt>
                <c:pt idx="207">
                  <c:v>-0.24250359529237264</c:v>
                </c:pt>
                <c:pt idx="208">
                  <c:v>-0.27274500384756806</c:v>
                </c:pt>
                <c:pt idx="209">
                  <c:v>-0.30297468248608656</c:v>
                </c:pt>
                <c:pt idx="210">
                  <c:v>-0.33319133112320926</c:v>
                </c:pt>
                <c:pt idx="211">
                  <c:v>-0.36339365023459735</c:v>
                </c:pt>
                <c:pt idx="212">
                  <c:v>-0.39358034091218058</c:v>
                </c:pt>
                <c:pt idx="213">
                  <c:v>-0.42375010492001924</c:v>
                </c:pt>
                <c:pt idx="214">
                  <c:v>-0.45390164475013678</c:v>
                </c:pt>
                <c:pt idx="215">
                  <c:v>-0.48403366367832246</c:v>
                </c:pt>
                <c:pt idx="216">
                  <c:v>-0.51414486581989904</c:v>
                </c:pt>
                <c:pt idx="217">
                  <c:v>-0.544233956185454</c:v>
                </c:pt>
                <c:pt idx="218">
                  <c:v>-0.57429964073653461</c:v>
                </c:pt>
                <c:pt idx="219">
                  <c:v>-0.60434062644129927</c:v>
                </c:pt>
                <c:pt idx="220">
                  <c:v>-0.6343556213301268</c:v>
                </c:pt>
                <c:pt idx="221">
                  <c:v>-0.66434333455118089</c:v>
                </c:pt>
                <c:pt idx="222">
                  <c:v>-0.69430247642592502</c:v>
                </c:pt>
                <c:pt idx="223">
                  <c:v>-0.72423175850458765</c:v>
                </c:pt>
                <c:pt idx="224">
                  <c:v>-0.75412989362157423</c:v>
                </c:pt>
                <c:pt idx="225">
                  <c:v>-0.78399559595082458</c:v>
                </c:pt>
                <c:pt idx="226">
                  <c:v>-0.8138275810611123</c:v>
                </c:pt>
                <c:pt idx="227">
                  <c:v>-0.84362456597128377</c:v>
                </c:pt>
                <c:pt idx="228">
                  <c:v>-0.8733852692054358</c:v>
                </c:pt>
                <c:pt idx="229">
                  <c:v>-0.90310841084802684</c:v>
                </c:pt>
                <c:pt idx="230">
                  <c:v>-0.9327927125989236</c:v>
                </c:pt>
                <c:pt idx="231">
                  <c:v>-0.96243689782837549</c:v>
                </c:pt>
                <c:pt idx="232">
                  <c:v>-0.99203969163191974</c:v>
                </c:pt>
                <c:pt idx="233">
                  <c:v>-1.0215998208852095</c:v>
                </c:pt>
                <c:pt idx="234">
                  <c:v>-1.0511160142987692</c:v>
                </c:pt>
                <c:pt idx="235">
                  <c:v>-1.0805870024726665</c:v>
                </c:pt>
                <c:pt idx="236">
                  <c:v>-1.1100115179511063</c:v>
                </c:pt>
                <c:pt idx="237">
                  <c:v>-1.1393882952769405</c:v>
                </c:pt>
                <c:pt idx="238">
                  <c:v>-1.1687160710460902</c:v>
                </c:pt>
                <c:pt idx="239">
                  <c:v>-1.197993583961882</c:v>
                </c:pt>
                <c:pt idx="240">
                  <c:v>-1.2272195748892916</c:v>
                </c:pt>
                <c:pt idx="241">
                  <c:v>-1.2563927869090956</c:v>
                </c:pt>
                <c:pt idx="242">
                  <c:v>-1.2855119653719278</c:v>
                </c:pt>
                <c:pt idx="243">
                  <c:v>-1.3145758579522382</c:v>
                </c:pt>
                <c:pt idx="244">
                  <c:v>-1.34358321470215</c:v>
                </c:pt>
                <c:pt idx="245">
                  <c:v>-1.3725327881052185</c:v>
                </c:pt>
                <c:pt idx="246">
                  <c:v>-1.4014233331300805</c:v>
                </c:pt>
                <c:pt idx="247">
                  <c:v>-1.4302536072840009</c:v>
                </c:pt>
                <c:pt idx="248">
                  <c:v>-1.459022370666307</c:v>
                </c:pt>
                <c:pt idx="249">
                  <c:v>-1.4877283860217145</c:v>
                </c:pt>
                <c:pt idx="250">
                  <c:v>-1.5163704187935365</c:v>
                </c:pt>
                <c:pt idx="251">
                  <c:v>-1.5449472371767787</c:v>
                </c:pt>
                <c:pt idx="252">
                  <c:v>-1.5734576121711157</c:v>
                </c:pt>
                <c:pt idx="253">
                  <c:v>-1.6019003176337463</c:v>
                </c:pt>
                <c:pt idx="254">
                  <c:v>-1.6302741303321253</c:v>
                </c:pt>
                <c:pt idx="255">
                  <c:v>-1.6585778299965721</c:v>
                </c:pt>
                <c:pt idx="256">
                  <c:v>-1.68681019937275</c:v>
                </c:pt>
                <c:pt idx="257">
                  <c:v>-1.7149700242740176</c:v>
                </c:pt>
                <c:pt idx="258">
                  <c:v>-1.7430560936336448</c:v>
                </c:pt>
                <c:pt idx="259">
                  <c:v>-1.7710671995568996</c:v>
                </c:pt>
                <c:pt idx="260">
                  <c:v>-1.799002137372995</c:v>
                </c:pt>
                <c:pt idx="261">
                  <c:v>-1.8268597056868976</c:v>
                </c:pt>
                <c:pt idx="262">
                  <c:v>-1.8546387064309957</c:v>
                </c:pt>
                <c:pt idx="263">
                  <c:v>-1.8823379449166271</c:v>
                </c:pt>
                <c:pt idx="264">
                  <c:v>-1.9099562298854551</c:v>
                </c:pt>
                <c:pt idx="265">
                  <c:v>-1.9374923735607035</c:v>
                </c:pt>
                <c:pt idx="266">
                  <c:v>-1.9649451916982379</c:v>
                </c:pt>
                <c:pt idx="267">
                  <c:v>-1.9923135036374973</c:v>
                </c:pt>
                <c:pt idx="268">
                  <c:v>-2.0195961323522704</c:v>
                </c:pt>
                <c:pt idx="269">
                  <c:v>-2.046791904501315</c:v>
                </c:pt>
                <c:pt idx="270">
                  <c:v>-2.073899650478821</c:v>
                </c:pt>
                <c:pt idx="271">
                  <c:v>-2.1009182044647088</c:v>
                </c:pt>
                <c:pt idx="272">
                  <c:v>-2.1278464044747736</c:v>
                </c:pt>
                <c:pt idx="273">
                  <c:v>-2.154683092410651</c:v>
                </c:pt>
                <c:pt idx="274">
                  <c:v>-2.1814271141096304</c:v>
                </c:pt>
                <c:pt idx="275">
                  <c:v>-2.208077319394286</c:v>
                </c:pt>
                <c:pt idx="276">
                  <c:v>-2.2346325621219463</c:v>
                </c:pt>
                <c:pt idx="277">
                  <c:v>-2.2610917002339845</c:v>
                </c:pt>
                <c:pt idx="278">
                  <c:v>-2.2874535958049362</c:v>
                </c:pt>
                <c:pt idx="279">
                  <c:v>-2.3137171150914346</c:v>
                </c:pt>
                <c:pt idx="280">
                  <c:v>-2.3398811285809744</c:v>
                </c:pt>
                <c:pt idx="281">
                  <c:v>-2.3659445110404849</c:v>
                </c:pt>
                <c:pt idx="282">
                  <c:v>-2.3919061415647236</c:v>
                </c:pt>
                <c:pt idx="283">
                  <c:v>-2.4177649036244842</c:v>
                </c:pt>
                <c:pt idx="284">
                  <c:v>-2.4435196851146124</c:v>
                </c:pt>
                <c:pt idx="285">
                  <c:v>-2.4691693784018383</c:v>
                </c:pt>
                <c:pt idx="286">
                  <c:v>-2.4947128803724072</c:v>
                </c:pt>
                <c:pt idx="287">
                  <c:v>-2.5201490924795231</c:v>
                </c:pt>
                <c:pt idx="288">
                  <c:v>-2.5454769207905974</c:v>
                </c:pt>
                <c:pt idx="289">
                  <c:v>-2.5706952760342898</c:v>
                </c:pt>
                <c:pt idx="290">
                  <c:v>-2.5958030736473576</c:v>
                </c:pt>
                <c:pt idx="291">
                  <c:v>-2.6207992338213</c:v>
                </c:pt>
                <c:pt idx="292">
                  <c:v>-2.6456826815487933</c:v>
                </c:pt>
                <c:pt idx="293">
                  <c:v>-2.6704523466699301</c:v>
                </c:pt>
                <c:pt idx="294">
                  <c:v>-2.6951071639182378</c:v>
                </c:pt>
                <c:pt idx="295">
                  <c:v>-2.7196460729664964</c:v>
                </c:pt>
                <c:pt idx="296">
                  <c:v>-2.7440680184723356</c:v>
                </c:pt>
                <c:pt idx="297">
                  <c:v>-2.7683719501236266</c:v>
                </c:pt>
                <c:pt idx="298">
                  <c:v>-2.7916085178333754</c:v>
                </c:pt>
                <c:pt idx="299">
                  <c:v>-2.7911013503470659</c:v>
                </c:pt>
                <c:pt idx="300">
                  <c:v>-2.7676283326367144</c:v>
                </c:pt>
                <c:pt idx="301">
                  <c:v>-2.7433207998224121</c:v>
                </c:pt>
                <c:pt idx="302">
                  <c:v>-2.7188952852891184</c:v>
                </c:pt>
                <c:pt idx="303">
                  <c:v>-2.6943528395024554</c:v>
                </c:pt>
                <c:pt idx="304">
                  <c:v>-2.6696945179568954</c:v>
                </c:pt>
                <c:pt idx="305">
                  <c:v>-2.64492138113037</c:v>
                </c:pt>
                <c:pt idx="306">
                  <c:v>-2.6200344944386571</c:v>
                </c:pt>
                <c:pt idx="307">
                  <c:v>-2.5950349281895653</c:v>
                </c:pt>
                <c:pt idx="308">
                  <c:v>-2.5699237575369009</c:v>
                </c:pt>
                <c:pt idx="309">
                  <c:v>-2.5447020624342298</c:v>
                </c:pt>
                <c:pt idx="310">
                  <c:v>-2.5193709275884313</c:v>
                </c:pt>
                <c:pt idx="311">
                  <c:v>-2.4939314424130492</c:v>
                </c:pt>
                <c:pt idx="312">
                  <c:v>-2.4683847009814373</c:v>
                </c:pt>
                <c:pt idx="313">
                  <c:v>-2.4427318019797108</c:v>
                </c:pt>
                <c:pt idx="314">
                  <c:v>-2.4169738486594903</c:v>
                </c:pt>
                <c:pt idx="315">
                  <c:v>-2.39111194879046</c:v>
                </c:pt>
                <c:pt idx="316">
                  <c:v>-2.3651472146127195</c:v>
                </c:pt>
                <c:pt idx="317">
                  <c:v>-2.3390807627889529</c:v>
                </c:pt>
                <c:pt idx="318">
                  <c:v>-2.3129137143564082</c:v>
                </c:pt>
                <c:pt idx="319">
                  <c:v>-2.2866471946786784</c:v>
                </c:pt>
                <c:pt idx="320">
                  <c:v>-2.2602823333973068</c:v>
                </c:pt>
                <c:pt idx="321">
                  <c:v>-2.2338202643832044</c:v>
                </c:pt>
                <c:pt idx="322">
                  <c:v>-2.2072621256878873</c:v>
                </c:pt>
                <c:pt idx="323">
                  <c:v>-2.1806090594945289</c:v>
                </c:pt>
                <c:pt idx="324">
                  <c:v>-2.1538622120688378</c:v>
                </c:pt>
                <c:pt idx="325">
                  <c:v>-2.127022733709766</c:v>
                </c:pt>
                <c:pt idx="326">
                  <c:v>-2.1000917787000319</c:v>
                </c:pt>
                <c:pt idx="327">
                  <c:v>-2.0730705052564824</c:v>
                </c:pt>
                <c:pt idx="328">
                  <c:v>-2.0459600754802802</c:v>
                </c:pt>
                <c:pt idx="329">
                  <c:v>-2.0187616553069256</c:v>
                </c:pt>
                <c:pt idx="330">
                  <c:v>-1.9914764144561119</c:v>
                </c:pt>
                <c:pt idx="331">
                  <c:v>-1.9641055263814209</c:v>
                </c:pt>
                <c:pt idx="332">
                  <c:v>-1.936650168219856</c:v>
                </c:pt>
                <c:pt idx="333">
                  <c:v>-1.909111520741217</c:v>
                </c:pt>
                <c:pt idx="334">
                  <c:v>-1.8814907682973185</c:v>
                </c:pt>
                <c:pt idx="335">
                  <c:v>-1.8537890987710559</c:v>
                </c:pt>
                <c:pt idx="336">
                  <c:v>-1.8260077035253164</c:v>
                </c:pt>
                <c:pt idx="337">
                  <c:v>-1.7981477773517436</c:v>
                </c:pt>
                <c:pt idx="338">
                  <c:v>-1.7702105184193524</c:v>
                </c:pt>
                <c:pt idx="339">
                  <c:v>-1.7421971282230002</c:v>
                </c:pt>
                <c:pt idx="340">
                  <c:v>-1.7141088115317138</c:v>
                </c:pt>
                <c:pt idx="341">
                  <c:v>-1.6859467763368761</c:v>
                </c:pt>
                <c:pt idx="342">
                  <c:v>-1.6577122338002745</c:v>
                </c:pt>
                <c:pt idx="343">
                  <c:v>-1.6294063982020119</c:v>
                </c:pt>
                <c:pt idx="344">
                  <c:v>-1.6010304868882848</c:v>
                </c:pt>
                <c:pt idx="345">
                  <c:v>-1.5725857202190283</c:v>
                </c:pt>
                <c:pt idx="346">
                  <c:v>-1.5440733215154334</c:v>
                </c:pt>
                <c:pt idx="347">
                  <c:v>-1.5154945170073364</c:v>
                </c:pt>
                <c:pt idx="348">
                  <c:v>-1.4868505357804787</c:v>
                </c:pt>
                <c:pt idx="349">
                  <c:v>-1.4581426097236514</c:v>
                </c:pt>
                <c:pt idx="350">
                  <c:v>-1.4293719734757153</c:v>
                </c:pt>
                <c:pt idx="351">
                  <c:v>-1.4005398643725011</c:v>
                </c:pt>
                <c:pt idx="352">
                  <c:v>-1.3716475223935958</c:v>
                </c:pt>
                <c:pt idx="353">
                  <c:v>-1.3426961901090164</c:v>
                </c:pt>
                <c:pt idx="354">
                  <c:v>-1.3136871126257705</c:v>
                </c:pt>
                <c:pt idx="355">
                  <c:v>-1.2846215375343062</c:v>
                </c:pt>
                <c:pt idx="356">
                  <c:v>-1.2555007148548591</c:v>
                </c:pt>
                <c:pt idx="357">
                  <c:v>-1.2263258969836923</c:v>
                </c:pt>
                <c:pt idx="358">
                  <c:v>-1.1970983386392355</c:v>
                </c:pt>
                <c:pt idx="359">
                  <c:v>-1.1678192968081211</c:v>
                </c:pt>
                <c:pt idx="360">
                  <c:v>-1.1384900306911272</c:v>
                </c:pt>
                <c:pt idx="361">
                  <c:v>-1.1091118016490227</c:v>
                </c:pt>
                <c:pt idx="362">
                  <c:v>-1.0796858731483199</c:v>
                </c:pt>
                <c:pt idx="363">
                  <c:v>-1.0502135107069368</c:v>
                </c:pt>
                <c:pt idx="364">
                  <c:v>-1.0206959818397716</c:v>
                </c:pt>
                <c:pt idx="365">
                  <c:v>-0.99113455600419031</c:v>
                </c:pt>
                <c:pt idx="366">
                  <c:v>-0.96153050454543088</c:v>
                </c:pt>
                <c:pt idx="367">
                  <c:v>-0.93188510064192731</c:v>
                </c:pt>
                <c:pt idx="368">
                  <c:v>-0.90219961925055425</c:v>
                </c:pt>
                <c:pt idx="369">
                  <c:v>-0.87247533705179481</c:v>
                </c:pt>
                <c:pt idx="370">
                  <c:v>-0.84271353239483437</c:v>
                </c:pt>
                <c:pt idx="371">
                  <c:v>-0.81291548524258261</c:v>
                </c:pt>
                <c:pt idx="372">
                  <c:v>-0.78308247711662693</c:v>
                </c:pt>
                <c:pt idx="373">
                  <c:v>-0.75321579104211767</c:v>
                </c:pt>
                <c:pt idx="374">
                  <c:v>-0.72331671149258903</c:v>
                </c:pt>
                <c:pt idx="375">
                  <c:v>-0.69338652433471837</c:v>
                </c:pt>
                <c:pt idx="376">
                  <c:v>-0.66342651677302467</c:v>
                </c:pt>
                <c:pt idx="377">
                  <c:v>-0.63343797729450979</c:v>
                </c:pt>
                <c:pt idx="378">
                  <c:v>-0.60342219561324528</c:v>
                </c:pt>
                <c:pt idx="379">
                  <c:v>-0.57338046261490516</c:v>
                </c:pt>
                <c:pt idx="380">
                  <c:v>-0.5433140703012489</c:v>
                </c:pt>
                <c:pt idx="381">
                  <c:v>-0.51322431173455718</c:v>
                </c:pt>
                <c:pt idx="382">
                  <c:v>-0.48311248098202009</c:v>
                </c:pt>
                <c:pt idx="383">
                  <c:v>-0.45297987306008441</c:v>
                </c:pt>
                <c:pt idx="384">
                  <c:v>-0.42282778387875841</c:v>
                </c:pt>
                <c:pt idx="385">
                  <c:v>-0.39265751018587869</c:v>
                </c:pt>
                <c:pt idx="386">
                  <c:v>-0.36247034951134155</c:v>
                </c:pt>
                <c:pt idx="387">
                  <c:v>-0.33226760011130008</c:v>
                </c:pt>
                <c:pt idx="388">
                  <c:v>-0.30205056091232979</c:v>
                </c:pt>
                <c:pt idx="389">
                  <c:v>-0.27182053145556651</c:v>
                </c:pt>
                <c:pt idx="390">
                  <c:v>-0.24157881184081642</c:v>
                </c:pt>
                <c:pt idx="391">
                  <c:v>-0.21132670267064324</c:v>
                </c:pt>
                <c:pt idx="392">
                  <c:v>-0.18106550499443325</c:v>
                </c:pt>
                <c:pt idx="393">
                  <c:v>-0.15079652025244122</c:v>
                </c:pt>
                <c:pt idx="394">
                  <c:v>-0.12052105021981949</c:v>
                </c:pt>
                <c:pt idx="395">
                  <c:v>-9.0240396950632587E-2</c:v>
                </c:pt>
                <c:pt idx="396">
                  <c:v>-5.9955862721859973E-2</c:v>
                </c:pt>
                <c:pt idx="397">
                  <c:v>-2.966874997738914E-2</c:v>
                </c:pt>
                <c:pt idx="398">
                  <c:v>6.1963872799844456E-4</c:v>
                </c:pt>
                <c:pt idx="399">
                  <c:v>3.0908000784646186E-2</c:v>
                </c:pt>
                <c:pt idx="400">
                  <c:v>6.1195033584043601E-2</c:v>
                </c:pt>
                <c:pt idx="401">
                  <c:v>9.1479434574847404E-2</c:v>
                </c:pt>
                <c:pt idx="402">
                  <c:v>0.12175990131890023</c:v>
                </c:pt>
                <c:pt idx="403">
                  <c:v>0.15203513154724452</c:v>
                </c:pt>
                <c:pt idx="404">
                  <c:v>0.1823038232161289</c:v>
                </c:pt>
                <c:pt idx="405">
                  <c:v>0.21256467456300532</c:v>
                </c:pt>
                <c:pt idx="406">
                  <c:v>0.24281638416251347</c:v>
                </c:pt>
                <c:pt idx="407">
                  <c:v>0.27305765098245149</c:v>
                </c:pt>
                <c:pt idx="408">
                  <c:v>0.30328717443972875</c:v>
                </c:pt>
                <c:pt idx="409">
                  <c:v>0.3335036544563007</c:v>
                </c:pt>
                <c:pt idx="410">
                  <c:v>0.36370579151508015</c:v>
                </c:pt>
                <c:pt idx="411">
                  <c:v>0.39389228671582638</c:v>
                </c:pt>
                <c:pt idx="412">
                  <c:v>0.42406184183100648</c:v>
                </c:pt>
                <c:pt idx="413">
                  <c:v>0.45421315936162793</c:v>
                </c:pt>
                <c:pt idx="414">
                  <c:v>0.48434494259304034</c:v>
                </c:pt>
                <c:pt idx="415">
                  <c:v>0.51445589565070282</c:v>
                </c:pt>
                <c:pt idx="416">
                  <c:v>0.54454472355591543</c:v>
                </c:pt>
                <c:pt idx="417">
                  <c:v>0.57461013228151292</c:v>
                </c:pt>
                <c:pt idx="418">
                  <c:v>0.60465082880751586</c:v>
                </c:pt>
                <c:pt idx="419">
                  <c:v>0.63466552117674047</c:v>
                </c:pt>
                <c:pt idx="420">
                  <c:v>0.66465291855036013</c:v>
                </c:pt>
                <c:pt idx="421">
                  <c:v>0.69461173126342224</c:v>
                </c:pt>
                <c:pt idx="422">
                  <c:v>0.72454067088031116</c:v>
                </c:pt>
                <c:pt idx="423">
                  <c:v>0.75443845025016099</c:v>
                </c:pt>
                <c:pt idx="424">
                  <c:v>0.78430378356221131</c:v>
                </c:pt>
                <c:pt idx="425">
                  <c:v>0.81413538640110561</c:v>
                </c:pt>
                <c:pt idx="426">
                  <c:v>0.84393197580213064</c:v>
                </c:pt>
                <c:pt idx="427">
                  <c:v>0.87369227030639252</c:v>
                </c:pt>
                <c:pt idx="428">
                  <c:v>0.90341499001592873</c:v>
                </c:pt>
                <c:pt idx="429">
                  <c:v>0.93309885664875158</c:v>
                </c:pt>
                <c:pt idx="430">
                  <c:v>0.96274259359382353</c:v>
                </c:pt>
                <c:pt idx="431">
                  <c:v>0.99234492596596102</c:v>
                </c:pt>
                <c:pt idx="432">
                  <c:v>1.0219045806606626</c:v>
                </c:pt>
                <c:pt idx="433">
                  <c:v>1.0514202864088609</c:v>
                </c:pt>
                <c:pt idx="434">
                  <c:v>1.0808907738315969</c:v>
                </c:pt>
                <c:pt idx="435">
                  <c:v>1.1103147754946119</c:v>
                </c:pt>
                <c:pt idx="436">
                  <c:v>1.1396910259628545</c:v>
                </c:pt>
                <c:pt idx="437">
                  <c:v>1.1690182618549048</c:v>
                </c:pt>
                <c:pt idx="438">
                  <c:v>1.1982952218973075</c:v>
                </c:pt>
                <c:pt idx="439">
                  <c:v>1.2275206469788158</c:v>
                </c:pt>
                <c:pt idx="440">
                  <c:v>1.2566932802045419</c:v>
                </c:pt>
                <c:pt idx="441">
                  <c:v>1.2858118669500114</c:v>
                </c:pt>
                <c:pt idx="442">
                  <c:v>1.3148751549151225</c:v>
                </c:pt>
                <c:pt idx="443">
                  <c:v>1.3438818941780011</c:v>
                </c:pt>
                <c:pt idx="444">
                  <c:v>1.3728308372487585</c:v>
                </c:pt>
                <c:pt idx="445">
                  <c:v>1.4017207391231401</c:v>
                </c:pt>
                <c:pt idx="446">
                  <c:v>1.4305503573360705</c:v>
                </c:pt>
                <c:pt idx="447">
                  <c:v>1.4593184520150873</c:v>
                </c:pt>
                <c:pt idx="448">
                  <c:v>1.4880237859336651</c:v>
                </c:pt>
                <c:pt idx="449">
                  <c:v>1.5166651245644238</c:v>
                </c:pt>
                <c:pt idx="450">
                  <c:v>1.5452412361322221</c:v>
                </c:pt>
                <c:pt idx="451">
                  <c:v>1.5737508916671319</c:v>
                </c:pt>
                <c:pt idx="452">
                  <c:v>1.6021928650572932</c:v>
                </c:pt>
                <c:pt idx="453">
                  <c:v>1.6305659331016453</c:v>
                </c:pt>
                <c:pt idx="454">
                  <c:v>1.6588688755625336</c:v>
                </c:pt>
                <c:pt idx="455">
                  <c:v>1.6871004752181862</c:v>
                </c:pt>
                <c:pt idx="456">
                  <c:v>1.7152595179150638</c:v>
                </c:pt>
                <c:pt idx="457">
                  <c:v>1.7433447926200776</c:v>
                </c:pt>
                <c:pt idx="458">
                  <c:v>1.7713550914726712</c:v>
                </c:pt>
                <c:pt idx="459">
                  <c:v>1.799289209836767</c:v>
                </c:pt>
                <c:pt idx="460">
                  <c:v>1.8271459463525737</c:v>
                </c:pt>
                <c:pt idx="461">
                  <c:v>1.8549241029882528</c:v>
                </c:pt>
                <c:pt idx="462">
                  <c:v>1.8826224850914441</c:v>
                </c:pt>
                <c:pt idx="463">
                  <c:v>1.9102399014406424</c:v>
                </c:pt>
                <c:pt idx="464">
                  <c:v>1.9377751642964269</c:v>
                </c:pt>
                <c:pt idx="465">
                  <c:v>1.9652270894525454</c:v>
                </c:pt>
                <c:pt idx="466">
                  <c:v>1.9925944962868403</c:v>
                </c:pt>
                <c:pt idx="467">
                  <c:v>2.0198762078120263</c:v>
                </c:pt>
                <c:pt idx="468">
                  <c:v>2.0470710507263061</c:v>
                </c:pt>
                <c:pt idx="469">
                  <c:v>2.0741778554638342</c:v>
                </c:pt>
                <c:pt idx="470">
                  <c:v>2.1011954562450117</c:v>
                </c:pt>
                <c:pt idx="471">
                  <c:v>2.1281226911266264</c:v>
                </c:pt>
                <c:pt idx="472">
                  <c:v>2.1549584020518231</c:v>
                </c:pt>
                <c:pt idx="473">
                  <c:v>2.1817014348999062</c:v>
                </c:pt>
                <c:pt idx="474">
                  <c:v>2.20835063953598</c:v>
                </c:pt>
                <c:pt idx="475">
                  <c:v>2.2349048698604066</c:v>
                </c:pt>
                <c:pt idx="476">
                  <c:v>2.2613629838581013</c:v>
                </c:pt>
                <c:pt idx="477">
                  <c:v>2.2877238436476408</c:v>
                </c:pt>
                <c:pt idx="478">
                  <c:v>2.3139863155302063</c:v>
                </c:pt>
                <c:pt idx="479">
                  <c:v>2.3401492700383373</c:v>
                </c:pt>
                <c:pt idx="480">
                  <c:v>2.3662115819845058</c:v>
                </c:pt>
                <c:pt idx="481">
                  <c:v>2.3921721305095098</c:v>
                </c:pt>
                <c:pt idx="482">
                  <c:v>2.4180297991306761</c:v>
                </c:pt>
                <c:pt idx="483">
                  <c:v>2.4437834757898766</c:v>
                </c:pt>
                <c:pt idx="484">
                  <c:v>2.4694320529013556</c:v>
                </c:pt>
                <c:pt idx="485">
                  <c:v>2.4949744273993621</c:v>
                </c:pt>
                <c:pt idx="486">
                  <c:v>2.5204095007855889</c:v>
                </c:pt>
                <c:pt idx="487">
                  <c:v>2.545736179176421</c:v>
                </c:pt>
                <c:pt idx="488">
                  <c:v>2.5709533733499716</c:v>
                </c:pt>
                <c:pt idx="489">
                  <c:v>2.5960599987929323</c:v>
                </c:pt>
                <c:pt idx="490">
                  <c:v>2.6210549757472137</c:v>
                </c:pt>
                <c:pt idx="491">
                  <c:v>2.6459372292563792</c:v>
                </c:pt>
                <c:pt idx="492">
                  <c:v>2.6707056892118812</c:v>
                </c:pt>
                <c:pt idx="493">
                  <c:v>2.6953592903990771</c:v>
                </c:pt>
                <c:pt idx="494">
                  <c:v>2.7198969725430464</c:v>
                </c:pt>
                <c:pt idx="495">
                  <c:v>2.7443176803541833</c:v>
                </c:pt>
                <c:pt idx="496">
                  <c:v>2.7686203635735889</c:v>
                </c:pt>
                <c:pt idx="497">
                  <c:v>2.7917749961405853</c:v>
                </c:pt>
                <c:pt idx="498">
                  <c:v>2.7909164079027726</c:v>
                </c:pt>
                <c:pt idx="499">
                  <c:v>2.7673614870782894</c:v>
                </c:pt>
                <c:pt idx="500">
                  <c:v>2.7430527074187792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25-4157-A096-2F0F1C0D9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757504"/>
        <c:axId val="288491504"/>
      </c:scatterChart>
      <c:valAx>
        <c:axId val="32475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8491504"/>
        <c:crosses val="autoZero"/>
        <c:crossBetween val="midCat"/>
      </c:valAx>
      <c:valAx>
        <c:axId val="28849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757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wyniki!$D$1</c:f>
              <c:strCache>
                <c:ptCount val="1"/>
                <c:pt idx="0">
                  <c:v>epsilon[rad/s^2]</c:v>
                </c:pt>
              </c:strCache>
            </c:strRef>
          </c:tx>
          <c:marker>
            <c:symbol val="diamond"/>
            <c:size val="2"/>
          </c:marker>
          <c:xVal>
            <c:strRef>
              <c:f>wyniki!$A:$A</c:f>
              <c:strCache>
                <c:ptCount val="501"/>
                <c:pt idx="0">
                  <c:v>t[s]</c:v>
                </c:pt>
                <c:pt idx="1">
                  <c:v>0,0003</c:v>
                </c:pt>
                <c:pt idx="2">
                  <c:v>0,0006</c:v>
                </c:pt>
                <c:pt idx="3">
                  <c:v>0,0009</c:v>
                </c:pt>
                <c:pt idx="4">
                  <c:v>0,0012</c:v>
                </c:pt>
                <c:pt idx="5">
                  <c:v>0,0015</c:v>
                </c:pt>
                <c:pt idx="6">
                  <c:v>0,0018</c:v>
                </c:pt>
                <c:pt idx="7">
                  <c:v>0,0021</c:v>
                </c:pt>
                <c:pt idx="8">
                  <c:v>0,0024</c:v>
                </c:pt>
                <c:pt idx="9">
                  <c:v>0,0027</c:v>
                </c:pt>
                <c:pt idx="10">
                  <c:v>0,003</c:v>
                </c:pt>
                <c:pt idx="11">
                  <c:v>0,0033</c:v>
                </c:pt>
                <c:pt idx="12">
                  <c:v>0,0036</c:v>
                </c:pt>
                <c:pt idx="13">
                  <c:v>0,0039</c:v>
                </c:pt>
                <c:pt idx="14">
                  <c:v>0,0042</c:v>
                </c:pt>
                <c:pt idx="15">
                  <c:v>0,0045</c:v>
                </c:pt>
                <c:pt idx="16">
                  <c:v>0,0048</c:v>
                </c:pt>
                <c:pt idx="17">
                  <c:v>0,0051</c:v>
                </c:pt>
                <c:pt idx="18">
                  <c:v>0,0054</c:v>
                </c:pt>
                <c:pt idx="19">
                  <c:v>0,0057</c:v>
                </c:pt>
                <c:pt idx="20">
                  <c:v>0,006</c:v>
                </c:pt>
                <c:pt idx="21">
                  <c:v>0,0063</c:v>
                </c:pt>
                <c:pt idx="22">
                  <c:v>0,0066</c:v>
                </c:pt>
                <c:pt idx="23">
                  <c:v>0,0069</c:v>
                </c:pt>
                <c:pt idx="24">
                  <c:v>0,0072</c:v>
                </c:pt>
                <c:pt idx="25">
                  <c:v>0,0075</c:v>
                </c:pt>
                <c:pt idx="26">
                  <c:v>0,0078</c:v>
                </c:pt>
                <c:pt idx="27">
                  <c:v>0,0081</c:v>
                </c:pt>
                <c:pt idx="28">
                  <c:v>0,0084</c:v>
                </c:pt>
                <c:pt idx="29">
                  <c:v>0,0087</c:v>
                </c:pt>
                <c:pt idx="30">
                  <c:v>0,009</c:v>
                </c:pt>
                <c:pt idx="31">
                  <c:v>0,0093</c:v>
                </c:pt>
                <c:pt idx="32">
                  <c:v>0,0096</c:v>
                </c:pt>
                <c:pt idx="33">
                  <c:v>0,0099</c:v>
                </c:pt>
                <c:pt idx="34">
                  <c:v>0,0102</c:v>
                </c:pt>
                <c:pt idx="35">
                  <c:v>0,0105</c:v>
                </c:pt>
                <c:pt idx="36">
                  <c:v>0,0108</c:v>
                </c:pt>
                <c:pt idx="37">
                  <c:v>0,0111</c:v>
                </c:pt>
                <c:pt idx="38">
                  <c:v>0,0114</c:v>
                </c:pt>
                <c:pt idx="39">
                  <c:v>0,0117</c:v>
                </c:pt>
                <c:pt idx="40">
                  <c:v>0,012</c:v>
                </c:pt>
                <c:pt idx="41">
                  <c:v>0,0123</c:v>
                </c:pt>
                <c:pt idx="42">
                  <c:v>0,0126</c:v>
                </c:pt>
                <c:pt idx="43">
                  <c:v>0,0129</c:v>
                </c:pt>
                <c:pt idx="44">
                  <c:v>0,0132</c:v>
                </c:pt>
                <c:pt idx="45">
                  <c:v>0,0135</c:v>
                </c:pt>
                <c:pt idx="46">
                  <c:v>0,0138</c:v>
                </c:pt>
                <c:pt idx="47">
                  <c:v>0,0141</c:v>
                </c:pt>
                <c:pt idx="48">
                  <c:v>0,0144</c:v>
                </c:pt>
                <c:pt idx="49">
                  <c:v>0,0147</c:v>
                </c:pt>
                <c:pt idx="50">
                  <c:v>0,015</c:v>
                </c:pt>
                <c:pt idx="51">
                  <c:v>0,0153</c:v>
                </c:pt>
                <c:pt idx="52">
                  <c:v>0,0156</c:v>
                </c:pt>
                <c:pt idx="53">
                  <c:v>0,0159</c:v>
                </c:pt>
                <c:pt idx="54">
                  <c:v>0,0162</c:v>
                </c:pt>
                <c:pt idx="55">
                  <c:v>0,0165</c:v>
                </c:pt>
                <c:pt idx="56">
                  <c:v>0,0168</c:v>
                </c:pt>
                <c:pt idx="57">
                  <c:v>0,0171</c:v>
                </c:pt>
                <c:pt idx="58">
                  <c:v>0,0174</c:v>
                </c:pt>
                <c:pt idx="59">
                  <c:v>0,0177</c:v>
                </c:pt>
                <c:pt idx="60">
                  <c:v>0,018</c:v>
                </c:pt>
                <c:pt idx="61">
                  <c:v>0,0183</c:v>
                </c:pt>
                <c:pt idx="62">
                  <c:v>0,0186</c:v>
                </c:pt>
                <c:pt idx="63">
                  <c:v>0,0189</c:v>
                </c:pt>
                <c:pt idx="64">
                  <c:v>0,0192</c:v>
                </c:pt>
                <c:pt idx="65">
                  <c:v>0,0195</c:v>
                </c:pt>
                <c:pt idx="66">
                  <c:v>0,0198</c:v>
                </c:pt>
                <c:pt idx="67">
                  <c:v>0,0201</c:v>
                </c:pt>
                <c:pt idx="68">
                  <c:v>0,0204</c:v>
                </c:pt>
                <c:pt idx="69">
                  <c:v>0,0207</c:v>
                </c:pt>
                <c:pt idx="70">
                  <c:v>0,021</c:v>
                </c:pt>
                <c:pt idx="71">
                  <c:v>0,0213</c:v>
                </c:pt>
                <c:pt idx="72">
                  <c:v>0,0216</c:v>
                </c:pt>
                <c:pt idx="73">
                  <c:v>0,0219</c:v>
                </c:pt>
                <c:pt idx="74">
                  <c:v>0,0222</c:v>
                </c:pt>
                <c:pt idx="75">
                  <c:v>0,0225</c:v>
                </c:pt>
                <c:pt idx="76">
                  <c:v>0,0228</c:v>
                </c:pt>
                <c:pt idx="77">
                  <c:v>0,0231</c:v>
                </c:pt>
                <c:pt idx="78">
                  <c:v>0,0234</c:v>
                </c:pt>
                <c:pt idx="79">
                  <c:v>0,0237</c:v>
                </c:pt>
                <c:pt idx="80">
                  <c:v>0,024</c:v>
                </c:pt>
                <c:pt idx="81">
                  <c:v>0,0243</c:v>
                </c:pt>
                <c:pt idx="82">
                  <c:v>0,0246</c:v>
                </c:pt>
                <c:pt idx="83">
                  <c:v>0,0249</c:v>
                </c:pt>
                <c:pt idx="84">
                  <c:v>0,0252</c:v>
                </c:pt>
                <c:pt idx="85">
                  <c:v>0,0255</c:v>
                </c:pt>
                <c:pt idx="86">
                  <c:v>0,0258</c:v>
                </c:pt>
                <c:pt idx="87">
                  <c:v>0,0261</c:v>
                </c:pt>
                <c:pt idx="88">
                  <c:v>0,0264</c:v>
                </c:pt>
                <c:pt idx="89">
                  <c:v>0,0267</c:v>
                </c:pt>
                <c:pt idx="90">
                  <c:v>0,027</c:v>
                </c:pt>
                <c:pt idx="91">
                  <c:v>0,0273</c:v>
                </c:pt>
                <c:pt idx="92">
                  <c:v>0,0276</c:v>
                </c:pt>
                <c:pt idx="93">
                  <c:v>0,0279</c:v>
                </c:pt>
                <c:pt idx="94">
                  <c:v>0,0282</c:v>
                </c:pt>
                <c:pt idx="95">
                  <c:v>0,0285</c:v>
                </c:pt>
                <c:pt idx="96">
                  <c:v>0,0288</c:v>
                </c:pt>
                <c:pt idx="97">
                  <c:v>0,0291</c:v>
                </c:pt>
                <c:pt idx="98">
                  <c:v>0,0294</c:v>
                </c:pt>
                <c:pt idx="99">
                  <c:v>0,0297</c:v>
                </c:pt>
                <c:pt idx="100">
                  <c:v>0,03</c:v>
                </c:pt>
                <c:pt idx="101">
                  <c:v>0,0303</c:v>
                </c:pt>
                <c:pt idx="102">
                  <c:v>0,0306</c:v>
                </c:pt>
                <c:pt idx="103">
                  <c:v>0,0309</c:v>
                </c:pt>
                <c:pt idx="104">
                  <c:v>0,0312</c:v>
                </c:pt>
                <c:pt idx="105">
                  <c:v>0,0315</c:v>
                </c:pt>
                <c:pt idx="106">
                  <c:v>0,0318</c:v>
                </c:pt>
                <c:pt idx="107">
                  <c:v>0,0321</c:v>
                </c:pt>
                <c:pt idx="108">
                  <c:v>0,0324</c:v>
                </c:pt>
                <c:pt idx="109">
                  <c:v>0,0327</c:v>
                </c:pt>
                <c:pt idx="110">
                  <c:v>0,033</c:v>
                </c:pt>
                <c:pt idx="111">
                  <c:v>0,0333</c:v>
                </c:pt>
                <c:pt idx="112">
                  <c:v>0,0336</c:v>
                </c:pt>
                <c:pt idx="113">
                  <c:v>0,0339</c:v>
                </c:pt>
                <c:pt idx="114">
                  <c:v>0,0342</c:v>
                </c:pt>
                <c:pt idx="115">
                  <c:v>0,0345</c:v>
                </c:pt>
                <c:pt idx="116">
                  <c:v>0,0348</c:v>
                </c:pt>
                <c:pt idx="117">
                  <c:v>0,0351</c:v>
                </c:pt>
                <c:pt idx="118">
                  <c:v>0,0354</c:v>
                </c:pt>
                <c:pt idx="119">
                  <c:v>0,0357</c:v>
                </c:pt>
                <c:pt idx="120">
                  <c:v>0,036</c:v>
                </c:pt>
                <c:pt idx="121">
                  <c:v>0,0363</c:v>
                </c:pt>
                <c:pt idx="122">
                  <c:v>0,0366</c:v>
                </c:pt>
                <c:pt idx="123">
                  <c:v>0,0369</c:v>
                </c:pt>
                <c:pt idx="124">
                  <c:v>0,0372</c:v>
                </c:pt>
                <c:pt idx="125">
                  <c:v>0,0375</c:v>
                </c:pt>
                <c:pt idx="126">
                  <c:v>0,0378</c:v>
                </c:pt>
                <c:pt idx="127">
                  <c:v>0,0381</c:v>
                </c:pt>
                <c:pt idx="128">
                  <c:v>0,0384</c:v>
                </c:pt>
                <c:pt idx="129">
                  <c:v>0,0387</c:v>
                </c:pt>
                <c:pt idx="130">
                  <c:v>0,039</c:v>
                </c:pt>
                <c:pt idx="131">
                  <c:v>0,0393</c:v>
                </c:pt>
                <c:pt idx="132">
                  <c:v>0,0396</c:v>
                </c:pt>
                <c:pt idx="133">
                  <c:v>0,0399</c:v>
                </c:pt>
                <c:pt idx="134">
                  <c:v>0,0402</c:v>
                </c:pt>
                <c:pt idx="135">
                  <c:v>0,0405</c:v>
                </c:pt>
                <c:pt idx="136">
                  <c:v>0,0408</c:v>
                </c:pt>
                <c:pt idx="137">
                  <c:v>0,0411</c:v>
                </c:pt>
                <c:pt idx="138">
                  <c:v>0,0414</c:v>
                </c:pt>
                <c:pt idx="139">
                  <c:v>0,0417</c:v>
                </c:pt>
                <c:pt idx="140">
                  <c:v>0,042</c:v>
                </c:pt>
                <c:pt idx="141">
                  <c:v>0,0423</c:v>
                </c:pt>
                <c:pt idx="142">
                  <c:v>0,0426</c:v>
                </c:pt>
                <c:pt idx="143">
                  <c:v>0,0429</c:v>
                </c:pt>
                <c:pt idx="144">
                  <c:v>0,0432</c:v>
                </c:pt>
                <c:pt idx="145">
                  <c:v>0,0435</c:v>
                </c:pt>
                <c:pt idx="146">
                  <c:v>0,0438</c:v>
                </c:pt>
                <c:pt idx="147">
                  <c:v>0,0441</c:v>
                </c:pt>
                <c:pt idx="148">
                  <c:v>0,0444</c:v>
                </c:pt>
                <c:pt idx="149">
                  <c:v>0,0447</c:v>
                </c:pt>
                <c:pt idx="150">
                  <c:v>0,045</c:v>
                </c:pt>
                <c:pt idx="151">
                  <c:v>0,0453</c:v>
                </c:pt>
                <c:pt idx="152">
                  <c:v>0,0456</c:v>
                </c:pt>
                <c:pt idx="153">
                  <c:v>0,0459</c:v>
                </c:pt>
                <c:pt idx="154">
                  <c:v>0,0462</c:v>
                </c:pt>
                <c:pt idx="155">
                  <c:v>0,0465</c:v>
                </c:pt>
                <c:pt idx="156">
                  <c:v>0,0468</c:v>
                </c:pt>
                <c:pt idx="157">
                  <c:v>0,0471</c:v>
                </c:pt>
                <c:pt idx="158">
                  <c:v>0,0474</c:v>
                </c:pt>
                <c:pt idx="159">
                  <c:v>0,0477</c:v>
                </c:pt>
                <c:pt idx="160">
                  <c:v>0,048</c:v>
                </c:pt>
                <c:pt idx="161">
                  <c:v>0,0483</c:v>
                </c:pt>
                <c:pt idx="162">
                  <c:v>0,0486</c:v>
                </c:pt>
                <c:pt idx="163">
                  <c:v>0,0489</c:v>
                </c:pt>
                <c:pt idx="164">
                  <c:v>0,0492</c:v>
                </c:pt>
                <c:pt idx="165">
                  <c:v>0,0495</c:v>
                </c:pt>
                <c:pt idx="166">
                  <c:v>0,0498</c:v>
                </c:pt>
                <c:pt idx="167">
                  <c:v>0,0501</c:v>
                </c:pt>
                <c:pt idx="168">
                  <c:v>0,0504</c:v>
                </c:pt>
                <c:pt idx="169">
                  <c:v>0,0507</c:v>
                </c:pt>
                <c:pt idx="170">
                  <c:v>0,051</c:v>
                </c:pt>
                <c:pt idx="171">
                  <c:v>0,0513</c:v>
                </c:pt>
                <c:pt idx="172">
                  <c:v>0,0516</c:v>
                </c:pt>
                <c:pt idx="173">
                  <c:v>0,0519</c:v>
                </c:pt>
                <c:pt idx="174">
                  <c:v>0,0522</c:v>
                </c:pt>
                <c:pt idx="175">
                  <c:v>0,0525</c:v>
                </c:pt>
                <c:pt idx="176">
                  <c:v>0,0528</c:v>
                </c:pt>
                <c:pt idx="177">
                  <c:v>0,0531</c:v>
                </c:pt>
                <c:pt idx="178">
                  <c:v>0,0534</c:v>
                </c:pt>
                <c:pt idx="179">
                  <c:v>0,0537</c:v>
                </c:pt>
                <c:pt idx="180">
                  <c:v>0,054</c:v>
                </c:pt>
                <c:pt idx="181">
                  <c:v>0,0543</c:v>
                </c:pt>
                <c:pt idx="182">
                  <c:v>0,0546</c:v>
                </c:pt>
                <c:pt idx="183">
                  <c:v>0,0549</c:v>
                </c:pt>
                <c:pt idx="184">
                  <c:v>0,0552</c:v>
                </c:pt>
                <c:pt idx="185">
                  <c:v>0,0555</c:v>
                </c:pt>
                <c:pt idx="186">
                  <c:v>0,0558</c:v>
                </c:pt>
                <c:pt idx="187">
                  <c:v>0,0561</c:v>
                </c:pt>
                <c:pt idx="188">
                  <c:v>0,0564</c:v>
                </c:pt>
                <c:pt idx="189">
                  <c:v>0,0567</c:v>
                </c:pt>
                <c:pt idx="190">
                  <c:v>0,057</c:v>
                </c:pt>
                <c:pt idx="191">
                  <c:v>0,0573</c:v>
                </c:pt>
                <c:pt idx="192">
                  <c:v>0,0576</c:v>
                </c:pt>
                <c:pt idx="193">
                  <c:v>0,0579</c:v>
                </c:pt>
                <c:pt idx="194">
                  <c:v>0,0582</c:v>
                </c:pt>
                <c:pt idx="195">
                  <c:v>0,0585</c:v>
                </c:pt>
                <c:pt idx="196">
                  <c:v>0,0588</c:v>
                </c:pt>
                <c:pt idx="197">
                  <c:v>0,0591</c:v>
                </c:pt>
                <c:pt idx="198">
                  <c:v>0,0594</c:v>
                </c:pt>
                <c:pt idx="199">
                  <c:v>0,0597</c:v>
                </c:pt>
                <c:pt idx="200">
                  <c:v>0,06</c:v>
                </c:pt>
                <c:pt idx="201">
                  <c:v>0,0603</c:v>
                </c:pt>
                <c:pt idx="202">
                  <c:v>0,0606</c:v>
                </c:pt>
                <c:pt idx="203">
                  <c:v>0,0609</c:v>
                </c:pt>
                <c:pt idx="204">
                  <c:v>0,0612</c:v>
                </c:pt>
                <c:pt idx="205">
                  <c:v>0,0615</c:v>
                </c:pt>
                <c:pt idx="206">
                  <c:v>0,0618</c:v>
                </c:pt>
                <c:pt idx="207">
                  <c:v>0,0621</c:v>
                </c:pt>
                <c:pt idx="208">
                  <c:v>0,0624</c:v>
                </c:pt>
                <c:pt idx="209">
                  <c:v>0,0627</c:v>
                </c:pt>
                <c:pt idx="210">
                  <c:v>0,063</c:v>
                </c:pt>
                <c:pt idx="211">
                  <c:v>0,0633</c:v>
                </c:pt>
                <c:pt idx="212">
                  <c:v>0,0636</c:v>
                </c:pt>
                <c:pt idx="213">
                  <c:v>0,0639</c:v>
                </c:pt>
                <c:pt idx="214">
                  <c:v>0,0642</c:v>
                </c:pt>
                <c:pt idx="215">
                  <c:v>0,0645</c:v>
                </c:pt>
                <c:pt idx="216">
                  <c:v>0,0648</c:v>
                </c:pt>
                <c:pt idx="217">
                  <c:v>0,0651</c:v>
                </c:pt>
                <c:pt idx="218">
                  <c:v>0,0654</c:v>
                </c:pt>
                <c:pt idx="219">
                  <c:v>0,0657</c:v>
                </c:pt>
                <c:pt idx="220">
                  <c:v>0,066</c:v>
                </c:pt>
                <c:pt idx="221">
                  <c:v>0,0663</c:v>
                </c:pt>
                <c:pt idx="222">
                  <c:v>0,0666</c:v>
                </c:pt>
                <c:pt idx="223">
                  <c:v>0,0669</c:v>
                </c:pt>
                <c:pt idx="224">
                  <c:v>0,0672</c:v>
                </c:pt>
                <c:pt idx="225">
                  <c:v>0,0675</c:v>
                </c:pt>
                <c:pt idx="226">
                  <c:v>0,0678</c:v>
                </c:pt>
                <c:pt idx="227">
                  <c:v>0,0681</c:v>
                </c:pt>
                <c:pt idx="228">
                  <c:v>0,0684</c:v>
                </c:pt>
                <c:pt idx="229">
                  <c:v>0,0687</c:v>
                </c:pt>
                <c:pt idx="230">
                  <c:v>0,069</c:v>
                </c:pt>
                <c:pt idx="231">
                  <c:v>0,0693</c:v>
                </c:pt>
                <c:pt idx="232">
                  <c:v>0,0696</c:v>
                </c:pt>
                <c:pt idx="233">
                  <c:v>0,0699</c:v>
                </c:pt>
                <c:pt idx="234">
                  <c:v>0,0702</c:v>
                </c:pt>
                <c:pt idx="235">
                  <c:v>0,0705</c:v>
                </c:pt>
                <c:pt idx="236">
                  <c:v>0,0708</c:v>
                </c:pt>
                <c:pt idx="237">
                  <c:v>0,0711</c:v>
                </c:pt>
                <c:pt idx="238">
                  <c:v>0,0714</c:v>
                </c:pt>
                <c:pt idx="239">
                  <c:v>0,0717</c:v>
                </c:pt>
                <c:pt idx="240">
                  <c:v>0,072</c:v>
                </c:pt>
                <c:pt idx="241">
                  <c:v>0,0723</c:v>
                </c:pt>
                <c:pt idx="242">
                  <c:v>0,0726</c:v>
                </c:pt>
                <c:pt idx="243">
                  <c:v>0,0729</c:v>
                </c:pt>
                <c:pt idx="244">
                  <c:v>0,0732</c:v>
                </c:pt>
                <c:pt idx="245">
                  <c:v>0,0735</c:v>
                </c:pt>
                <c:pt idx="246">
                  <c:v>0,0738</c:v>
                </c:pt>
                <c:pt idx="247">
                  <c:v>0,0741</c:v>
                </c:pt>
                <c:pt idx="248">
                  <c:v>0,0744</c:v>
                </c:pt>
                <c:pt idx="249">
                  <c:v>0,0747</c:v>
                </c:pt>
                <c:pt idx="250">
                  <c:v>0,075</c:v>
                </c:pt>
                <c:pt idx="251">
                  <c:v>0,0753</c:v>
                </c:pt>
                <c:pt idx="252">
                  <c:v>0,0756</c:v>
                </c:pt>
                <c:pt idx="253">
                  <c:v>0,0759</c:v>
                </c:pt>
                <c:pt idx="254">
                  <c:v>0,0762</c:v>
                </c:pt>
                <c:pt idx="255">
                  <c:v>0,0765</c:v>
                </c:pt>
                <c:pt idx="256">
                  <c:v>0,0768</c:v>
                </c:pt>
                <c:pt idx="257">
                  <c:v>0,0771</c:v>
                </c:pt>
                <c:pt idx="258">
                  <c:v>0,0774</c:v>
                </c:pt>
                <c:pt idx="259">
                  <c:v>0,0777</c:v>
                </c:pt>
                <c:pt idx="260">
                  <c:v>0,078</c:v>
                </c:pt>
                <c:pt idx="261">
                  <c:v>0,0783</c:v>
                </c:pt>
                <c:pt idx="262">
                  <c:v>0,0786</c:v>
                </c:pt>
                <c:pt idx="263">
                  <c:v>0,0789</c:v>
                </c:pt>
                <c:pt idx="264">
                  <c:v>0,0792</c:v>
                </c:pt>
                <c:pt idx="265">
                  <c:v>0,0795</c:v>
                </c:pt>
                <c:pt idx="266">
                  <c:v>0,0798</c:v>
                </c:pt>
                <c:pt idx="267">
                  <c:v>0,0801</c:v>
                </c:pt>
                <c:pt idx="268">
                  <c:v>0,0804</c:v>
                </c:pt>
                <c:pt idx="269">
                  <c:v>0,0807</c:v>
                </c:pt>
                <c:pt idx="270">
                  <c:v>0,081</c:v>
                </c:pt>
                <c:pt idx="271">
                  <c:v>0,0813</c:v>
                </c:pt>
                <c:pt idx="272">
                  <c:v>0,0816</c:v>
                </c:pt>
                <c:pt idx="273">
                  <c:v>0,0819</c:v>
                </c:pt>
                <c:pt idx="274">
                  <c:v>0,0822</c:v>
                </c:pt>
                <c:pt idx="275">
                  <c:v>0,0825</c:v>
                </c:pt>
                <c:pt idx="276">
                  <c:v>0,0828</c:v>
                </c:pt>
                <c:pt idx="277">
                  <c:v>0,0831</c:v>
                </c:pt>
                <c:pt idx="278">
                  <c:v>0,0834</c:v>
                </c:pt>
                <c:pt idx="279">
                  <c:v>0,0837</c:v>
                </c:pt>
                <c:pt idx="280">
                  <c:v>0,084</c:v>
                </c:pt>
                <c:pt idx="281">
                  <c:v>0,0843</c:v>
                </c:pt>
                <c:pt idx="282">
                  <c:v>0,0846</c:v>
                </c:pt>
                <c:pt idx="283">
                  <c:v>0,0849</c:v>
                </c:pt>
                <c:pt idx="284">
                  <c:v>0,0852</c:v>
                </c:pt>
                <c:pt idx="285">
                  <c:v>0,0855</c:v>
                </c:pt>
                <c:pt idx="286">
                  <c:v>0,0858</c:v>
                </c:pt>
                <c:pt idx="287">
                  <c:v>0,0861</c:v>
                </c:pt>
                <c:pt idx="288">
                  <c:v>0,0864</c:v>
                </c:pt>
                <c:pt idx="289">
                  <c:v>0,0867</c:v>
                </c:pt>
                <c:pt idx="290">
                  <c:v>0,087</c:v>
                </c:pt>
                <c:pt idx="291">
                  <c:v>0,0873</c:v>
                </c:pt>
                <c:pt idx="292">
                  <c:v>0,0876</c:v>
                </c:pt>
                <c:pt idx="293">
                  <c:v>0,0879</c:v>
                </c:pt>
                <c:pt idx="294">
                  <c:v>0,0882</c:v>
                </c:pt>
                <c:pt idx="295">
                  <c:v>0,0885</c:v>
                </c:pt>
                <c:pt idx="296">
                  <c:v>0,0888</c:v>
                </c:pt>
                <c:pt idx="297">
                  <c:v>0,0891</c:v>
                </c:pt>
                <c:pt idx="298">
                  <c:v>0,0894</c:v>
                </c:pt>
                <c:pt idx="299">
                  <c:v>0,0897</c:v>
                </c:pt>
                <c:pt idx="300">
                  <c:v>0,09</c:v>
                </c:pt>
                <c:pt idx="301">
                  <c:v>0,0903</c:v>
                </c:pt>
                <c:pt idx="302">
                  <c:v>0,0906</c:v>
                </c:pt>
                <c:pt idx="303">
                  <c:v>0,0909</c:v>
                </c:pt>
                <c:pt idx="304">
                  <c:v>0,0912</c:v>
                </c:pt>
                <c:pt idx="305">
                  <c:v>0,0915</c:v>
                </c:pt>
                <c:pt idx="306">
                  <c:v>0,0918</c:v>
                </c:pt>
                <c:pt idx="307">
                  <c:v>0,0921</c:v>
                </c:pt>
                <c:pt idx="308">
                  <c:v>0,0924</c:v>
                </c:pt>
                <c:pt idx="309">
                  <c:v>0,0927</c:v>
                </c:pt>
                <c:pt idx="310">
                  <c:v>0,093</c:v>
                </c:pt>
                <c:pt idx="311">
                  <c:v>0,0933</c:v>
                </c:pt>
                <c:pt idx="312">
                  <c:v>0,0936</c:v>
                </c:pt>
                <c:pt idx="313">
                  <c:v>0,0939</c:v>
                </c:pt>
                <c:pt idx="314">
                  <c:v>0,0942</c:v>
                </c:pt>
                <c:pt idx="315">
                  <c:v>0,0945</c:v>
                </c:pt>
                <c:pt idx="316">
                  <c:v>0,0948</c:v>
                </c:pt>
                <c:pt idx="317">
                  <c:v>0,0951</c:v>
                </c:pt>
                <c:pt idx="318">
                  <c:v>0,0954</c:v>
                </c:pt>
                <c:pt idx="319">
                  <c:v>0,0957</c:v>
                </c:pt>
                <c:pt idx="320">
                  <c:v>0,096</c:v>
                </c:pt>
                <c:pt idx="321">
                  <c:v>0,0963</c:v>
                </c:pt>
                <c:pt idx="322">
                  <c:v>0,0966</c:v>
                </c:pt>
                <c:pt idx="323">
                  <c:v>0,0969</c:v>
                </c:pt>
                <c:pt idx="324">
                  <c:v>0,0972</c:v>
                </c:pt>
                <c:pt idx="325">
                  <c:v>0,0975</c:v>
                </c:pt>
                <c:pt idx="326">
                  <c:v>0,0978</c:v>
                </c:pt>
                <c:pt idx="327">
                  <c:v>0,0981</c:v>
                </c:pt>
                <c:pt idx="328">
                  <c:v>0,0984</c:v>
                </c:pt>
                <c:pt idx="329">
                  <c:v>0,0987</c:v>
                </c:pt>
                <c:pt idx="330">
                  <c:v>0,099</c:v>
                </c:pt>
                <c:pt idx="331">
                  <c:v>0,0993</c:v>
                </c:pt>
                <c:pt idx="332">
                  <c:v>0,0996</c:v>
                </c:pt>
                <c:pt idx="333">
                  <c:v>0,0999</c:v>
                </c:pt>
                <c:pt idx="334">
                  <c:v>0,1002</c:v>
                </c:pt>
                <c:pt idx="335">
                  <c:v>0,1005</c:v>
                </c:pt>
                <c:pt idx="336">
                  <c:v>0,1008</c:v>
                </c:pt>
                <c:pt idx="337">
                  <c:v>0,1011</c:v>
                </c:pt>
                <c:pt idx="338">
                  <c:v>0,1014</c:v>
                </c:pt>
                <c:pt idx="339">
                  <c:v>0,1017</c:v>
                </c:pt>
                <c:pt idx="340">
                  <c:v>0,102</c:v>
                </c:pt>
                <c:pt idx="341">
                  <c:v>0,1023</c:v>
                </c:pt>
                <c:pt idx="342">
                  <c:v>0,1026</c:v>
                </c:pt>
                <c:pt idx="343">
                  <c:v>0,1029</c:v>
                </c:pt>
                <c:pt idx="344">
                  <c:v>0,1032</c:v>
                </c:pt>
                <c:pt idx="345">
                  <c:v>0,1035</c:v>
                </c:pt>
                <c:pt idx="346">
                  <c:v>0,1038</c:v>
                </c:pt>
                <c:pt idx="347">
                  <c:v>0,1041</c:v>
                </c:pt>
                <c:pt idx="348">
                  <c:v>0,1044</c:v>
                </c:pt>
                <c:pt idx="349">
                  <c:v>0,1047</c:v>
                </c:pt>
                <c:pt idx="350">
                  <c:v>0,105</c:v>
                </c:pt>
                <c:pt idx="351">
                  <c:v>0,1053</c:v>
                </c:pt>
                <c:pt idx="352">
                  <c:v>0,1056</c:v>
                </c:pt>
                <c:pt idx="353">
                  <c:v>0,1059</c:v>
                </c:pt>
                <c:pt idx="354">
                  <c:v>0,1062</c:v>
                </c:pt>
                <c:pt idx="355">
                  <c:v>0,1065</c:v>
                </c:pt>
                <c:pt idx="356">
                  <c:v>0,1068</c:v>
                </c:pt>
                <c:pt idx="357">
                  <c:v>0,1071</c:v>
                </c:pt>
                <c:pt idx="358">
                  <c:v>0,1074</c:v>
                </c:pt>
                <c:pt idx="359">
                  <c:v>0,1077</c:v>
                </c:pt>
                <c:pt idx="360">
                  <c:v>0,108</c:v>
                </c:pt>
                <c:pt idx="361">
                  <c:v>0,1083</c:v>
                </c:pt>
                <c:pt idx="362">
                  <c:v>0,1086</c:v>
                </c:pt>
                <c:pt idx="363">
                  <c:v>0,1089</c:v>
                </c:pt>
                <c:pt idx="364">
                  <c:v>0,1092</c:v>
                </c:pt>
                <c:pt idx="365">
                  <c:v>0,1095</c:v>
                </c:pt>
                <c:pt idx="366">
                  <c:v>0,1098</c:v>
                </c:pt>
                <c:pt idx="367">
                  <c:v>0,1101</c:v>
                </c:pt>
                <c:pt idx="368">
                  <c:v>0,1104</c:v>
                </c:pt>
                <c:pt idx="369">
                  <c:v>0,1107</c:v>
                </c:pt>
                <c:pt idx="370">
                  <c:v>0,111</c:v>
                </c:pt>
                <c:pt idx="371">
                  <c:v>0,1113</c:v>
                </c:pt>
                <c:pt idx="372">
                  <c:v>0,1116</c:v>
                </c:pt>
                <c:pt idx="373">
                  <c:v>0,1119</c:v>
                </c:pt>
                <c:pt idx="374">
                  <c:v>0,1122</c:v>
                </c:pt>
                <c:pt idx="375">
                  <c:v>0,1125</c:v>
                </c:pt>
                <c:pt idx="376">
                  <c:v>0,1128</c:v>
                </c:pt>
                <c:pt idx="377">
                  <c:v>0,1131</c:v>
                </c:pt>
                <c:pt idx="378">
                  <c:v>0,1134</c:v>
                </c:pt>
                <c:pt idx="379">
                  <c:v>0,1137</c:v>
                </c:pt>
                <c:pt idx="380">
                  <c:v>0,114</c:v>
                </c:pt>
                <c:pt idx="381">
                  <c:v>0,1143</c:v>
                </c:pt>
                <c:pt idx="382">
                  <c:v>0,1146</c:v>
                </c:pt>
                <c:pt idx="383">
                  <c:v>0,1149</c:v>
                </c:pt>
                <c:pt idx="384">
                  <c:v>0,1152</c:v>
                </c:pt>
                <c:pt idx="385">
                  <c:v>0,1155</c:v>
                </c:pt>
                <c:pt idx="386">
                  <c:v>0,1158</c:v>
                </c:pt>
                <c:pt idx="387">
                  <c:v>0,1161</c:v>
                </c:pt>
                <c:pt idx="388">
                  <c:v>0,1164</c:v>
                </c:pt>
                <c:pt idx="389">
                  <c:v>0,1167</c:v>
                </c:pt>
                <c:pt idx="390">
                  <c:v>0,117</c:v>
                </c:pt>
                <c:pt idx="391">
                  <c:v>0,1173</c:v>
                </c:pt>
                <c:pt idx="392">
                  <c:v>0,1176</c:v>
                </c:pt>
                <c:pt idx="393">
                  <c:v>0,1179</c:v>
                </c:pt>
                <c:pt idx="394">
                  <c:v>0,1182</c:v>
                </c:pt>
                <c:pt idx="395">
                  <c:v>0,1185</c:v>
                </c:pt>
                <c:pt idx="396">
                  <c:v>0,1188</c:v>
                </c:pt>
                <c:pt idx="397">
                  <c:v>0,1191</c:v>
                </c:pt>
                <c:pt idx="398">
                  <c:v>0,1194</c:v>
                </c:pt>
                <c:pt idx="399">
                  <c:v>0,1197</c:v>
                </c:pt>
                <c:pt idx="400">
                  <c:v>0,12</c:v>
                </c:pt>
                <c:pt idx="401">
                  <c:v>0,1203</c:v>
                </c:pt>
                <c:pt idx="402">
                  <c:v>0,1206</c:v>
                </c:pt>
                <c:pt idx="403">
                  <c:v>0,1209</c:v>
                </c:pt>
                <c:pt idx="404">
                  <c:v>0,1212</c:v>
                </c:pt>
                <c:pt idx="405">
                  <c:v>0,1215</c:v>
                </c:pt>
                <c:pt idx="406">
                  <c:v>0,1218</c:v>
                </c:pt>
                <c:pt idx="407">
                  <c:v>0,1221</c:v>
                </c:pt>
                <c:pt idx="408">
                  <c:v>0,1224</c:v>
                </c:pt>
                <c:pt idx="409">
                  <c:v>0,1227</c:v>
                </c:pt>
                <c:pt idx="410">
                  <c:v>0,123</c:v>
                </c:pt>
                <c:pt idx="411">
                  <c:v>0,1233</c:v>
                </c:pt>
                <c:pt idx="412">
                  <c:v>0,1236</c:v>
                </c:pt>
                <c:pt idx="413">
                  <c:v>0,1239</c:v>
                </c:pt>
                <c:pt idx="414">
                  <c:v>0,1242</c:v>
                </c:pt>
                <c:pt idx="415">
                  <c:v>0,1245</c:v>
                </c:pt>
                <c:pt idx="416">
                  <c:v>0,1248</c:v>
                </c:pt>
                <c:pt idx="417">
                  <c:v>0,1251</c:v>
                </c:pt>
                <c:pt idx="418">
                  <c:v>0,1254</c:v>
                </c:pt>
                <c:pt idx="419">
                  <c:v>0,1257</c:v>
                </c:pt>
                <c:pt idx="420">
                  <c:v>0,126</c:v>
                </c:pt>
                <c:pt idx="421">
                  <c:v>0,1263</c:v>
                </c:pt>
                <c:pt idx="422">
                  <c:v>0,1266</c:v>
                </c:pt>
                <c:pt idx="423">
                  <c:v>0,1269</c:v>
                </c:pt>
                <c:pt idx="424">
                  <c:v>0,1272</c:v>
                </c:pt>
                <c:pt idx="425">
                  <c:v>0,1275</c:v>
                </c:pt>
                <c:pt idx="426">
                  <c:v>0,1278</c:v>
                </c:pt>
                <c:pt idx="427">
                  <c:v>0,1281</c:v>
                </c:pt>
                <c:pt idx="428">
                  <c:v>0,1284</c:v>
                </c:pt>
                <c:pt idx="429">
                  <c:v>0,1287</c:v>
                </c:pt>
                <c:pt idx="430">
                  <c:v>0,129</c:v>
                </c:pt>
                <c:pt idx="431">
                  <c:v>0,1293</c:v>
                </c:pt>
                <c:pt idx="432">
                  <c:v>0,1296</c:v>
                </c:pt>
                <c:pt idx="433">
                  <c:v>0,1299</c:v>
                </c:pt>
                <c:pt idx="434">
                  <c:v>0,1302</c:v>
                </c:pt>
                <c:pt idx="435">
                  <c:v>0,1305</c:v>
                </c:pt>
                <c:pt idx="436">
                  <c:v>0,1308</c:v>
                </c:pt>
                <c:pt idx="437">
                  <c:v>0,1311</c:v>
                </c:pt>
                <c:pt idx="438">
                  <c:v>0,1314</c:v>
                </c:pt>
                <c:pt idx="439">
                  <c:v>0,1317</c:v>
                </c:pt>
                <c:pt idx="440">
                  <c:v>0,132</c:v>
                </c:pt>
                <c:pt idx="441">
                  <c:v>0,1323</c:v>
                </c:pt>
                <c:pt idx="442">
                  <c:v>0,1326</c:v>
                </c:pt>
                <c:pt idx="443">
                  <c:v>0,1329</c:v>
                </c:pt>
                <c:pt idx="444">
                  <c:v>0,1332</c:v>
                </c:pt>
                <c:pt idx="445">
                  <c:v>0,1335</c:v>
                </c:pt>
                <c:pt idx="446">
                  <c:v>0,1338</c:v>
                </c:pt>
                <c:pt idx="447">
                  <c:v>0,1341</c:v>
                </c:pt>
                <c:pt idx="448">
                  <c:v>0,1344</c:v>
                </c:pt>
                <c:pt idx="449">
                  <c:v>0,1347</c:v>
                </c:pt>
                <c:pt idx="450">
                  <c:v>0,135</c:v>
                </c:pt>
                <c:pt idx="451">
                  <c:v>0,1353</c:v>
                </c:pt>
                <c:pt idx="452">
                  <c:v>0,1356</c:v>
                </c:pt>
                <c:pt idx="453">
                  <c:v>0,1359</c:v>
                </c:pt>
                <c:pt idx="454">
                  <c:v>0,1362</c:v>
                </c:pt>
                <c:pt idx="455">
                  <c:v>0,1365</c:v>
                </c:pt>
                <c:pt idx="456">
                  <c:v>0,1368</c:v>
                </c:pt>
                <c:pt idx="457">
                  <c:v>0,1371</c:v>
                </c:pt>
                <c:pt idx="458">
                  <c:v>0,1374</c:v>
                </c:pt>
                <c:pt idx="459">
                  <c:v>0,1377</c:v>
                </c:pt>
                <c:pt idx="460">
                  <c:v>0,138</c:v>
                </c:pt>
                <c:pt idx="461">
                  <c:v>0,1383</c:v>
                </c:pt>
                <c:pt idx="462">
                  <c:v>0,1386</c:v>
                </c:pt>
                <c:pt idx="463">
                  <c:v>0,1389</c:v>
                </c:pt>
                <c:pt idx="464">
                  <c:v>0,1392</c:v>
                </c:pt>
                <c:pt idx="465">
                  <c:v>0,1395</c:v>
                </c:pt>
                <c:pt idx="466">
                  <c:v>0,1398</c:v>
                </c:pt>
                <c:pt idx="467">
                  <c:v>0,1401</c:v>
                </c:pt>
                <c:pt idx="468">
                  <c:v>0,1404</c:v>
                </c:pt>
                <c:pt idx="469">
                  <c:v>0,1407</c:v>
                </c:pt>
                <c:pt idx="470">
                  <c:v>0,141</c:v>
                </c:pt>
                <c:pt idx="471">
                  <c:v>0,1413</c:v>
                </c:pt>
                <c:pt idx="472">
                  <c:v>0,1416</c:v>
                </c:pt>
                <c:pt idx="473">
                  <c:v>0,1419</c:v>
                </c:pt>
                <c:pt idx="474">
                  <c:v>0,1422</c:v>
                </c:pt>
                <c:pt idx="475">
                  <c:v>0,1425</c:v>
                </c:pt>
                <c:pt idx="476">
                  <c:v>0,1428</c:v>
                </c:pt>
                <c:pt idx="477">
                  <c:v>0,1431</c:v>
                </c:pt>
                <c:pt idx="478">
                  <c:v>0,1434</c:v>
                </c:pt>
                <c:pt idx="479">
                  <c:v>0,1437</c:v>
                </c:pt>
                <c:pt idx="480">
                  <c:v>0,144</c:v>
                </c:pt>
                <c:pt idx="481">
                  <c:v>0,1443</c:v>
                </c:pt>
                <c:pt idx="482">
                  <c:v>0,1446</c:v>
                </c:pt>
                <c:pt idx="483">
                  <c:v>0,1449</c:v>
                </c:pt>
                <c:pt idx="484">
                  <c:v>0,1452</c:v>
                </c:pt>
                <c:pt idx="485">
                  <c:v>0,1455</c:v>
                </c:pt>
                <c:pt idx="486">
                  <c:v>0,1458</c:v>
                </c:pt>
                <c:pt idx="487">
                  <c:v>0,1461</c:v>
                </c:pt>
                <c:pt idx="488">
                  <c:v>0,1464</c:v>
                </c:pt>
                <c:pt idx="489">
                  <c:v>0,1467</c:v>
                </c:pt>
                <c:pt idx="490">
                  <c:v>0,147</c:v>
                </c:pt>
                <c:pt idx="491">
                  <c:v>0,1473</c:v>
                </c:pt>
                <c:pt idx="492">
                  <c:v>0,1476</c:v>
                </c:pt>
                <c:pt idx="493">
                  <c:v>0,1479</c:v>
                </c:pt>
                <c:pt idx="494">
                  <c:v>0,1482</c:v>
                </c:pt>
                <c:pt idx="495">
                  <c:v>0,1485</c:v>
                </c:pt>
                <c:pt idx="496">
                  <c:v>0,1488</c:v>
                </c:pt>
                <c:pt idx="497">
                  <c:v>0,1491</c:v>
                </c:pt>
                <c:pt idx="498">
                  <c:v>0,1494</c:v>
                </c:pt>
                <c:pt idx="499">
                  <c:v>0,1497</c:v>
                </c:pt>
                <c:pt idx="500">
                  <c:v>0,15</c:v>
                </c:pt>
              </c:strCache>
            </c:strRef>
          </c:xVal>
          <c:yVal>
            <c:numRef>
              <c:f>wyniki!$D:$D</c:f>
              <c:numCache>
                <c:formatCode>General</c:formatCode>
                <c:ptCount val="1048576"/>
                <c:pt idx="0">
                  <c:v>0</c:v>
                </c:pt>
                <c:pt idx="1">
                  <c:v>100.96008753905382</c:v>
                </c:pt>
                <c:pt idx="2">
                  <c:v>100.95374152757472</c:v>
                </c:pt>
                <c:pt idx="3">
                  <c:v>100.94305380878788</c:v>
                </c:pt>
                <c:pt idx="4">
                  <c:v>100.92802484233891</c:v>
                </c:pt>
                <c:pt idx="5">
                  <c:v>100.90865527457707</c:v>
                </c:pt>
                <c:pt idx="6">
                  <c:v>100.88494593852737</c:v>
                </c:pt>
                <c:pt idx="7">
                  <c:v>100.85689785385485</c:v>
                </c:pt>
                <c:pt idx="8">
                  <c:v>100.82451222682057</c:v>
                </c:pt>
                <c:pt idx="9">
                  <c:v>100.78779045022999</c:v>
                </c:pt>
                <c:pt idx="10">
                  <c:v>100.74673410337277</c:v>
                </c:pt>
                <c:pt idx="11">
                  <c:v>100.70134495195506</c:v>
                </c:pt>
                <c:pt idx="12">
                  <c:v>100.65162494802351</c:v>
                </c:pt>
                <c:pt idx="13">
                  <c:v>100.59757622988123</c:v>
                </c:pt>
                <c:pt idx="14">
                  <c:v>100.53920112199599</c:v>
                </c:pt>
                <c:pt idx="15">
                  <c:v>100.47650213490012</c:v>
                </c:pt>
                <c:pt idx="16">
                  <c:v>100.40948196508256</c:v>
                </c:pt>
                <c:pt idx="17">
                  <c:v>100.33814349487299</c:v>
                </c:pt>
                <c:pt idx="18">
                  <c:v>100.26248979231775</c:v>
                </c:pt>
                <c:pt idx="19">
                  <c:v>100.1825241110479</c:v>
                </c:pt>
                <c:pt idx="20">
                  <c:v>100.0982498901394</c:v>
                </c:pt>
                <c:pt idx="21">
                  <c:v>100.00967075396511</c:v>
                </c:pt>
                <c:pt idx="22">
                  <c:v>99.916790512038929</c:v>
                </c:pt>
                <c:pt idx="23">
                  <c:v>99.819613158851993</c:v>
                </c:pt>
                <c:pt idx="24">
                  <c:v>99.718142873700884</c:v>
                </c:pt>
                <c:pt idx="25">
                  <c:v>99.61238402050779</c:v>
                </c:pt>
                <c:pt idx="26">
                  <c:v>99.502341147633018</c:v>
                </c:pt>
                <c:pt idx="27">
                  <c:v>99.388018987679231</c:v>
                </c:pt>
                <c:pt idx="28">
                  <c:v>99.269422457287902</c:v>
                </c:pt>
                <c:pt idx="29">
                  <c:v>99.146556656927999</c:v>
                </c:pt>
                <c:pt idx="30">
                  <c:v>99.01942687067654</c:v>
                </c:pt>
                <c:pt idx="31">
                  <c:v>98.88803856599128</c:v>
                </c:pt>
                <c:pt idx="32">
                  <c:v>98.752397393475732</c:v>
                </c:pt>
                <c:pt idx="33">
                  <c:v>98.612509186636018</c:v>
                </c:pt>
                <c:pt idx="34">
                  <c:v>98.468379961630021</c:v>
                </c:pt>
                <c:pt idx="35">
                  <c:v>98.320015917008689</c:v>
                </c:pt>
                <c:pt idx="36">
                  <c:v>98.167423433449414</c:v>
                </c:pt>
                <c:pt idx="37">
                  <c:v>98.010609073481675</c:v>
                </c:pt>
                <c:pt idx="38">
                  <c:v>97.849579581204665</c:v>
                </c:pt>
                <c:pt idx="39">
                  <c:v>97.684341881997454</c:v>
                </c:pt>
                <c:pt idx="40">
                  <c:v>97.514903082220968</c:v>
                </c:pt>
                <c:pt idx="41">
                  <c:v>97.341270468912455</c:v>
                </c:pt>
                <c:pt idx="42">
                  <c:v>97.163451509472068</c:v>
                </c:pt>
                <c:pt idx="43">
                  <c:v>96.98145385134174</c:v>
                </c:pt>
                <c:pt idx="44">
                  <c:v>96.795285321676303</c:v>
                </c:pt>
                <c:pt idx="45">
                  <c:v>96.604953927006747</c:v>
                </c:pt>
                <c:pt idx="46">
                  <c:v>96.410467852896076</c:v>
                </c:pt>
                <c:pt idx="47">
                  <c:v>96.211835463587107</c:v>
                </c:pt>
                <c:pt idx="48">
                  <c:v>96.009065301642849</c:v>
                </c:pt>
                <c:pt idx="49">
                  <c:v>95.802166087579025</c:v>
                </c:pt>
                <c:pt idx="50">
                  <c:v>95.591146719489132</c:v>
                </c:pt>
                <c:pt idx="51">
                  <c:v>95.376016272661715</c:v>
                </c:pt>
                <c:pt idx="52">
                  <c:v>95.156783999190054</c:v>
                </c:pt>
                <c:pt idx="53">
                  <c:v>94.933459327574226</c:v>
                </c:pt>
                <c:pt idx="54">
                  <c:v>94.706051862315746</c:v>
                </c:pt>
                <c:pt idx="55">
                  <c:v>94.474571383504355</c:v>
                </c:pt>
                <c:pt idx="56">
                  <c:v>94.239027846397477</c:v>
                </c:pt>
                <c:pt idx="57">
                  <c:v>93.999431380992092</c:v>
                </c:pt>
                <c:pt idx="58">
                  <c:v>93.755792291589074</c:v>
                </c:pt>
                <c:pt idx="59">
                  <c:v>93.508121056349992</c:v>
                </c:pt>
                <c:pt idx="60">
                  <c:v>93.256428326846489</c:v>
                </c:pt>
                <c:pt idx="61">
                  <c:v>93.000724927602221</c:v>
                </c:pt>
                <c:pt idx="62">
                  <c:v>92.741021855627295</c:v>
                </c:pt>
                <c:pt idx="63">
                  <c:v>92.477330279945392</c:v>
                </c:pt>
                <c:pt idx="64">
                  <c:v>92.209661541113263</c:v>
                </c:pt>
                <c:pt idx="65">
                  <c:v>91.938027150733205</c:v>
                </c:pt>
                <c:pt idx="66">
                  <c:v>91.662438790957864</c:v>
                </c:pt>
                <c:pt idx="67">
                  <c:v>91.382908313987812</c:v>
                </c:pt>
                <c:pt idx="68">
                  <c:v>91.099447741561889</c:v>
                </c:pt>
                <c:pt idx="69">
                  <c:v>90.812069264440154</c:v>
                </c:pt>
                <c:pt idx="70">
                  <c:v>90.520785241879565</c:v>
                </c:pt>
                <c:pt idx="71">
                  <c:v>90.225608201102503</c:v>
                </c:pt>
                <c:pt idx="72">
                  <c:v>89.926550836757983</c:v>
                </c:pt>
                <c:pt idx="73">
                  <c:v>89.623626010375673</c:v>
                </c:pt>
                <c:pt idx="74">
                  <c:v>89.316846749812839</c:v>
                </c:pt>
                <c:pt idx="75">
                  <c:v>89.006226248693991</c:v>
                </c:pt>
                <c:pt idx="76">
                  <c:v>88.691777865843434</c:v>
                </c:pt>
                <c:pt idx="77">
                  <c:v>88.373515124710835</c:v>
                </c:pt>
                <c:pt idx="78">
                  <c:v>88.0514517127896</c:v>
                </c:pt>
                <c:pt idx="79">
                  <c:v>87.725601481028164</c:v>
                </c:pt>
                <c:pt idx="80">
                  <c:v>87.395978443234313</c:v>
                </c:pt>
                <c:pt idx="81">
                  <c:v>87.062596775472613</c:v>
                </c:pt>
                <c:pt idx="82">
                  <c:v>86.725470815454543</c:v>
                </c:pt>
                <c:pt idx="83">
                  <c:v>86.384615061922034</c:v>
                </c:pt>
                <c:pt idx="84">
                  <c:v>86.040044174023876</c:v>
                </c:pt>
                <c:pt idx="85">
                  <c:v>85.691772970685193</c:v>
                </c:pt>
                <c:pt idx="86">
                  <c:v>85.339816429970313</c:v>
                </c:pt>
                <c:pt idx="87">
                  <c:v>84.984189688438406</c:v>
                </c:pt>
                <c:pt idx="88">
                  <c:v>84.624908040492627</c:v>
                </c:pt>
                <c:pt idx="89">
                  <c:v>84.261986937722313</c:v>
                </c:pt>
                <c:pt idx="90">
                  <c:v>83.895441988238446</c:v>
                </c:pt>
                <c:pt idx="91">
                  <c:v>83.525288956002484</c:v>
                </c:pt>
                <c:pt idx="92">
                  <c:v>83.151543760148272</c:v>
                </c:pt>
                <c:pt idx="93">
                  <c:v>82.774222474297446</c:v>
                </c:pt>
                <c:pt idx="94">
                  <c:v>82.393341325868263</c:v>
                </c:pt>
                <c:pt idx="95">
                  <c:v>82.008916695377593</c:v>
                </c:pt>
                <c:pt idx="96">
                  <c:v>81.620965115736453</c:v>
                </c:pt>
                <c:pt idx="97">
                  <c:v>81.229503271539016</c:v>
                </c:pt>
                <c:pt idx="98">
                  <c:v>80.834547998345059</c:v>
                </c:pt>
                <c:pt idx="99">
                  <c:v>59.349708117878741</c:v>
                </c:pt>
                <c:pt idx="100">
                  <c:v>-51.916372629701023</c:v>
                </c:pt>
                <c:pt idx="101">
                  <c:v>-80.808011637358319</c:v>
                </c:pt>
                <c:pt idx="102">
                  <c:v>-81.203199598847121</c:v>
                </c:pt>
                <c:pt idx="103">
                  <c:v>-81.594895262578774</c:v>
                </c:pt>
                <c:pt idx="104">
                  <c:v>-81.983081782937646</c:v>
                </c:pt>
                <c:pt idx="105">
                  <c:v>-82.367742465225533</c:v>
                </c:pt>
                <c:pt idx="106">
                  <c:v>-82.748860766379508</c:v>
                </c:pt>
                <c:pt idx="107">
                  <c:v>-83.126420295683516</c:v>
                </c:pt>
                <c:pt idx="108">
                  <c:v>-83.500404815473232</c:v>
                </c:pt>
                <c:pt idx="109">
                  <c:v>-83.870798241834379</c:v>
                </c:pt>
                <c:pt idx="110">
                  <c:v>-84.237584645294504</c:v>
                </c:pt>
                <c:pt idx="111">
                  <c:v>-84.600748251508008</c:v>
                </c:pt>
                <c:pt idx="112">
                  <c:v>-84.960273441934575</c:v>
                </c:pt>
                <c:pt idx="113">
                  <c:v>-85.316144754510859</c:v>
                </c:pt>
                <c:pt idx="114">
                  <c:v>-85.668346884315469</c:v>
                </c:pt>
                <c:pt idx="115">
                  <c:v>-86.016864684227158</c:v>
                </c:pt>
                <c:pt idx="116">
                  <c:v>-86.361683165576324</c:v>
                </c:pt>
                <c:pt idx="117">
                  <c:v>-86.702787498789547</c:v>
                </c:pt>
                <c:pt idx="118">
                  <c:v>-87.040163014027442</c:v>
                </c:pt>
                <c:pt idx="119">
                  <c:v>-87.373795201815483</c:v>
                </c:pt>
                <c:pt idx="120">
                  <c:v>-87.703669713668035</c:v>
                </c:pt>
                <c:pt idx="121">
                  <c:v>-88.029772362705515</c:v>
                </c:pt>
                <c:pt idx="122">
                  <c:v>-88.352089124264396</c:v>
                </c:pt>
                <c:pt idx="123">
                  <c:v>-88.670606136500439</c:v>
                </c:pt>
                <c:pt idx="124">
                  <c:v>-88.985309700984871</c:v>
                </c:pt>
                <c:pt idx="125">
                  <c:v>-89.296186283293451</c:v>
                </c:pt>
                <c:pt idx="126">
                  <c:v>-89.603222513588577</c:v>
                </c:pt>
                <c:pt idx="127">
                  <c:v>-89.906405187194281</c:v>
                </c:pt>
                <c:pt idx="128">
                  <c:v>-90.205721265164129</c:v>
                </c:pt>
                <c:pt idx="129">
                  <c:v>-90.501157874841951</c:v>
                </c:pt>
                <c:pt idx="130">
                  <c:v>-90.792702310415478</c:v>
                </c:pt>
                <c:pt idx="131">
                  <c:v>-91.08034203346277</c:v>
                </c:pt>
                <c:pt idx="132">
                  <c:v>-91.364064673491498</c:v>
                </c:pt>
                <c:pt idx="133">
                  <c:v>-91.643858028470873</c:v>
                </c:pt>
                <c:pt idx="134">
                  <c:v>-91.919710065356526</c:v>
                </c:pt>
                <c:pt idx="135">
                  <c:v>-92.191608920607919</c:v>
                </c:pt>
                <c:pt idx="136">
                  <c:v>-92.459542900698594</c:v>
                </c:pt>
                <c:pt idx="137">
                  <c:v>-92.723500482619073</c:v>
                </c:pt>
                <c:pt idx="138">
                  <c:v>-92.983470314372454</c:v>
                </c:pt>
                <c:pt idx="139">
                  <c:v>-93.239441215462591</c:v>
                </c:pt>
                <c:pt idx="140">
                  <c:v>-93.491402177374951</c:v>
                </c:pt>
                <c:pt idx="141">
                  <c:v>-93.739342364050003</c:v>
                </c:pt>
                <c:pt idx="142">
                  <c:v>-93.983251112349365</c:v>
                </c:pt>
                <c:pt idx="143">
                  <c:v>-94.223117932514242</c:v>
                </c:pt>
                <c:pt idx="144">
                  <c:v>-94.45893250861667</c:v>
                </c:pt>
                <c:pt idx="145">
                  <c:v>-94.690684699003128</c:v>
                </c:pt>
                <c:pt idx="146">
                  <c:v>-94.918364536730707</c:v>
                </c:pt>
                <c:pt idx="147">
                  <c:v>-95.141962229995755</c:v>
                </c:pt>
                <c:pt idx="148">
                  <c:v>-95.361468162554985</c:v>
                </c:pt>
                <c:pt idx="149">
                  <c:v>-95.576872894139058</c:v>
                </c:pt>
                <c:pt idx="150">
                  <c:v>-95.788167160858549</c:v>
                </c:pt>
                <c:pt idx="151">
                  <c:v>-95.995341875602378</c:v>
                </c:pt>
                <c:pt idx="152">
                  <c:v>-96.198388128428675</c:v>
                </c:pt>
                <c:pt idx="153">
                  <c:v>-96.397297186947839</c:v>
                </c:pt>
                <c:pt idx="154">
                  <c:v>-96.592060496698181</c:v>
                </c:pt>
                <c:pt idx="155">
                  <c:v>-96.782669681513866</c:v>
                </c:pt>
                <c:pt idx="156">
                  <c:v>-96.969116543884994</c:v>
                </c:pt>
                <c:pt idx="157">
                  <c:v>-97.15139306531033</c:v>
                </c:pt>
                <c:pt idx="158">
                  <c:v>-97.329491406641978</c:v>
                </c:pt>
                <c:pt idx="159">
                  <c:v>-97.50340390842274</c:v>
                </c:pt>
                <c:pt idx="160">
                  <c:v>-97.67312309121526</c:v>
                </c:pt>
                <c:pt idx="161">
                  <c:v>-97.838641655923908</c:v>
                </c:pt>
                <c:pt idx="162">
                  <c:v>-97.999952484108547</c:v>
                </c:pt>
                <c:pt idx="163">
                  <c:v>-98.157048638290846</c:v>
                </c:pt>
                <c:pt idx="164">
                  <c:v>-98.309923362252391</c:v>
                </c:pt>
                <c:pt idx="165">
                  <c:v>-98.45857008132549</c:v>
                </c:pt>
                <c:pt idx="166">
                  <c:v>-98.602982402675764</c:v>
                </c:pt>
                <c:pt idx="167">
                  <c:v>-98.743154115577227</c:v>
                </c:pt>
                <c:pt idx="168">
                  <c:v>-98.87907919167921</c:v>
                </c:pt>
                <c:pt idx="169">
                  <c:v>-99.010751785265796</c:v>
                </c:pt>
                <c:pt idx="170">
                  <c:v>-99.138166233507121</c:v>
                </c:pt>
                <c:pt idx="171">
                  <c:v>-99.261317056702936</c:v>
                </c:pt>
                <c:pt idx="172">
                  <c:v>-99.380198958518349</c:v>
                </c:pt>
                <c:pt idx="173">
                  <c:v>-99.49480682621143</c:v>
                </c:pt>
                <c:pt idx="174">
                  <c:v>-99.605135730853277</c:v>
                </c:pt>
                <c:pt idx="175">
                  <c:v>-99.711180927539885</c:v>
                </c:pt>
                <c:pt idx="176">
                  <c:v>-99.81293785559626</c:v>
                </c:pt>
                <c:pt idx="177">
                  <c:v>-99.910402138772525</c:v>
                </c:pt>
                <c:pt idx="178">
                  <c:v>-100.00356958543217</c:v>
                </c:pt>
                <c:pt idx="179">
                  <c:v>-100.09243618873225</c:v>
                </c:pt>
                <c:pt idx="180">
                  <c:v>-100.17699812679581</c:v>
                </c:pt>
                <c:pt idx="181">
                  <c:v>-100.25725176287615</c:v>
                </c:pt>
                <c:pt idx="182">
                  <c:v>-100.33319364551329</c:v>
                </c:pt>
                <c:pt idx="183">
                  <c:v>-100.40482050868243</c:v>
                </c:pt>
                <c:pt idx="184">
                  <c:v>-100.47212927193432</c:v>
                </c:pt>
                <c:pt idx="185">
                  <c:v>-100.53511704052781</c:v>
                </c:pt>
                <c:pt idx="186">
                  <c:v>-100.59378110555434</c:v>
                </c:pt>
                <c:pt idx="187">
                  <c:v>-100.64811894405443</c:v>
                </c:pt>
                <c:pt idx="188">
                  <c:v>-100.69812821912619</c:v>
                </c:pt>
                <c:pt idx="189">
                  <c:v>-100.74380678002578</c:v>
                </c:pt>
                <c:pt idx="190">
                  <c:v>-100.78515266225997</c:v>
                </c:pt>
                <c:pt idx="191">
                  <c:v>-100.82216408767063</c:v>
                </c:pt>
                <c:pt idx="192">
                  <c:v>-100.85483946451113</c:v>
                </c:pt>
                <c:pt idx="193">
                  <c:v>-100.88317738751483</c:v>
                </c:pt>
                <c:pt idx="194">
                  <c:v>-100.9071766379556</c:v>
                </c:pt>
                <c:pt idx="195">
                  <c:v>-100.92683618370012</c:v>
                </c:pt>
                <c:pt idx="196">
                  <c:v>-100.94215517925224</c:v>
                </c:pt>
                <c:pt idx="197">
                  <c:v>-100.95313296578952</c:v>
                </c:pt>
                <c:pt idx="198">
                  <c:v>-100.95976907119143</c:v>
                </c:pt>
                <c:pt idx="199">
                  <c:v>-100.96206321005961</c:v>
                </c:pt>
                <c:pt idx="200">
                  <c:v>-100.96001528373029</c:v>
                </c:pt>
                <c:pt idx="201">
                  <c:v>-100.95362538027841</c:v>
                </c:pt>
                <c:pt idx="202">
                  <c:v>-100.94289377451393</c:v>
                </c:pt>
                <c:pt idx="203">
                  <c:v>-100.9278209279699</c:v>
                </c:pt>
                <c:pt idx="204">
                  <c:v>-100.90840748888272</c:v>
                </c:pt>
                <c:pt idx="205">
                  <c:v>-100.88465429216417</c:v>
                </c:pt>
                <c:pt idx="206">
                  <c:v>-100.8565623593656</c:v>
                </c:pt>
                <c:pt idx="207">
                  <c:v>-100.82413289863389</c:v>
                </c:pt>
                <c:pt idx="208">
                  <c:v>-100.78736730465957</c:v>
                </c:pt>
                <c:pt idx="209">
                  <c:v>-100.74626715861679</c:v>
                </c:pt>
                <c:pt idx="210">
                  <c:v>-100.70083422809539</c:v>
                </c:pt>
                <c:pt idx="211">
                  <c:v>-100.65107046702478</c:v>
                </c:pt>
                <c:pt idx="212">
                  <c:v>-100.59697801558995</c:v>
                </c:pt>
                <c:pt idx="213">
                  <c:v>-100.53855920013949</c:v>
                </c:pt>
                <c:pt idx="214">
                  <c:v>-100.47581653308548</c:v>
                </c:pt>
                <c:pt idx="215">
                  <c:v>-100.40875271279539</c:v>
                </c:pt>
                <c:pt idx="216">
                  <c:v>-100.33737062347618</c:v>
                </c:pt>
                <c:pt idx="217">
                  <c:v>-100.26167333505008</c:v>
                </c:pt>
                <c:pt idx="218">
                  <c:v>-100.18166410302267</c:v>
                </c:pt>
                <c:pt idx="219">
                  <c:v>-100.09734636834288</c:v>
                </c:pt>
                <c:pt idx="220">
                  <c:v>-100.00872375725498</c:v>
                </c:pt>
                <c:pt idx="221">
                  <c:v>-99.915800081142564</c:v>
                </c:pt>
                <c:pt idx="222">
                  <c:v>-99.818579336364763</c:v>
                </c:pt>
                <c:pt idx="223">
                  <c:v>-99.717065704084277</c:v>
                </c:pt>
                <c:pt idx="224">
                  <c:v>-99.611263550087557</c:v>
                </c:pt>
                <c:pt idx="225">
                  <c:v>-99.501177424597117</c:v>
                </c:pt>
                <c:pt idx="226">
                  <c:v>-99.386812062075776</c:v>
                </c:pt>
                <c:pt idx="227">
                  <c:v>-99.268172381023021</c:v>
                </c:pt>
                <c:pt idx="228">
                  <c:v>-99.1452634837636</c:v>
                </c:pt>
                <c:pt idx="229">
                  <c:v>-99.018090656227969</c:v>
                </c:pt>
                <c:pt idx="230">
                  <c:v>-98.886659367724988</c:v>
                </c:pt>
                <c:pt idx="231">
                  <c:v>-98.750975270706746</c:v>
                </c:pt>
                <c:pt idx="232">
                  <c:v>-98.611044200525441</c:v>
                </c:pt>
                <c:pt idx="233">
                  <c:v>-98.46687217518236</c:v>
                </c:pt>
                <c:pt idx="234">
                  <c:v>-98.318465395069168</c:v>
                </c:pt>
                <c:pt idx="235">
                  <c:v>-98.16583024270119</c:v>
                </c:pt>
                <c:pt idx="236">
                  <c:v>-98.008973282442895</c:v>
                </c:pt>
                <c:pt idx="237">
                  <c:v>-97.847901260225655</c:v>
                </c:pt>
                <c:pt idx="238">
                  <c:v>-97.682621103257588</c:v>
                </c:pt>
                <c:pt idx="239">
                  <c:v>-97.513139919725589</c:v>
                </c:pt>
                <c:pt idx="240">
                  <c:v>-97.339464998489717</c:v>
                </c:pt>
                <c:pt idx="241">
                  <c:v>-97.161603808769669</c:v>
                </c:pt>
                <c:pt idx="242">
                  <c:v>-96.979563999823569</c:v>
                </c:pt>
                <c:pt idx="243">
                  <c:v>-96.793353400618983</c:v>
                </c:pt>
                <c:pt idx="244">
                  <c:v>-96.602980019496258</c:v>
                </c:pt>
                <c:pt idx="245">
                  <c:v>-96.408452043824028</c:v>
                </c:pt>
                <c:pt idx="246">
                  <c:v>-96.209777839647188</c:v>
                </c:pt>
                <c:pt idx="247">
                  <c:v>-96.006965951327061</c:v>
                </c:pt>
                <c:pt idx="248">
                  <c:v>-95.800025101173958</c:v>
                </c:pt>
                <c:pt idx="249">
                  <c:v>-95.588964189071959</c:v>
                </c:pt>
                <c:pt idx="250">
                  <c:v>-95.373792292096297</c:v>
                </c:pt>
                <c:pt idx="251">
                  <c:v>-95.154518664122875</c:v>
                </c:pt>
                <c:pt idx="252">
                  <c:v>-94.931152735430345</c:v>
                </c:pt>
                <c:pt idx="253">
                  <c:v>-94.703704112294531</c:v>
                </c:pt>
                <c:pt idx="254">
                  <c:v>-94.47218257657525</c:v>
                </c:pt>
                <c:pt idx="255">
                  <c:v>-94.236598085295654</c:v>
                </c:pt>
                <c:pt idx="256">
                  <c:v>-93.996960770214059</c:v>
                </c:pt>
                <c:pt idx="257">
                  <c:v>-93.753280937388141</c:v>
                </c:pt>
                <c:pt idx="258">
                  <c:v>-93.505569066731695</c:v>
                </c:pt>
                <c:pt idx="259">
                  <c:v>-93.253835811563974</c:v>
                </c:pt>
                <c:pt idx="260">
                  <c:v>-92.998091998151551</c:v>
                </c:pt>
                <c:pt idx="261">
                  <c:v>-92.738348625242608</c:v>
                </c:pt>
                <c:pt idx="262">
                  <c:v>-92.474616863594008</c:v>
                </c:pt>
                <c:pt idx="263">
                  <c:v>-92.206908055490814</c:v>
                </c:pt>
                <c:pt idx="264">
                  <c:v>-91.935233714258587</c:v>
                </c:pt>
                <c:pt idx="265">
                  <c:v>-91.659605523768093</c:v>
                </c:pt>
                <c:pt idx="266">
                  <c:v>-91.380035337932938</c:v>
                </c:pt>
                <c:pt idx="267">
                  <c:v>-91.096535180199695</c:v>
                </c:pt>
                <c:pt idx="268">
                  <c:v>-90.809117243030855</c:v>
                </c:pt>
                <c:pt idx="269">
                  <c:v>-90.517793887380464</c:v>
                </c:pt>
                <c:pt idx="270">
                  <c:v>-90.222577642162477</c:v>
                </c:pt>
                <c:pt idx="271">
                  <c:v>-89.923481203711958</c:v>
                </c:pt>
                <c:pt idx="272">
                  <c:v>-89.62051743523908</c:v>
                </c:pt>
                <c:pt idx="273">
                  <c:v>-89.313699366275813</c:v>
                </c:pt>
                <c:pt idx="274">
                  <c:v>-89.003040192115748</c:v>
                </c:pt>
                <c:pt idx="275">
                  <c:v>-88.688553273246399</c:v>
                </c:pt>
                <c:pt idx="276">
                  <c:v>-88.370252134774731</c:v>
                </c:pt>
                <c:pt idx="277">
                  <c:v>-88.048150465845495</c:v>
                </c:pt>
                <c:pt idx="278">
                  <c:v>-87.722262119052445</c:v>
                </c:pt>
                <c:pt idx="279">
                  <c:v>-87.392601109842616</c:v>
                </c:pt>
                <c:pt idx="280">
                  <c:v>-87.059181615913545</c:v>
                </c:pt>
                <c:pt idx="281">
                  <c:v>-86.72201797660351</c:v>
                </c:pt>
                <c:pt idx="282">
                  <c:v>-86.381124692274952</c:v>
                </c:pt>
                <c:pt idx="283">
                  <c:v>-86.036516423690699</c:v>
                </c:pt>
                <c:pt idx="284">
                  <c:v>-85.68820799138355</c:v>
                </c:pt>
                <c:pt idx="285">
                  <c:v>-85.336214375018884</c:v>
                </c:pt>
                <c:pt idx="286">
                  <c:v>-84.9805507127504</c:v>
                </c:pt>
                <c:pt idx="287">
                  <c:v>-84.621232300569105</c:v>
                </c:pt>
                <c:pt idx="288">
                  <c:v>-84.258274591645431</c:v>
                </c:pt>
                <c:pt idx="289">
                  <c:v>-83.891693195664757</c:v>
                </c:pt>
                <c:pt idx="290">
                  <c:v>-83.521503878155869</c:v>
                </c:pt>
                <c:pt idx="291">
                  <c:v>-83.147722559813204</c:v>
                </c:pt>
                <c:pt idx="292">
                  <c:v>-82.770365315811915</c:v>
                </c:pt>
                <c:pt idx="293">
                  <c:v>-82.389448375116686</c:v>
                </c:pt>
                <c:pt idx="294">
                  <c:v>-82.00498811978369</c:v>
                </c:pt>
                <c:pt idx="295">
                  <c:v>-81.617001084256074</c:v>
                </c:pt>
                <c:pt idx="296">
                  <c:v>-81.225503954652893</c:v>
                </c:pt>
                <c:pt idx="297">
                  <c:v>-80.830513568051387</c:v>
                </c:pt>
                <c:pt idx="298">
                  <c:v>-58.219566093453807</c:v>
                </c:pt>
                <c:pt idx="299">
                  <c:v>53.046852676973081</c:v>
                </c:pt>
                <c:pt idx="300">
                  <c:v>80.812046851023098</c:v>
                </c:pt>
                <c:pt idx="301">
                  <c:v>81.207198406692001</c:v>
                </c:pt>
                <c:pt idx="302">
                  <c:v>81.598857492627459</c:v>
                </c:pt>
                <c:pt idx="303">
                  <c:v>81.987007264786939</c:v>
                </c:pt>
                <c:pt idx="304">
                  <c:v>82.371631030052583</c:v>
                </c:pt>
                <c:pt idx="305">
                  <c:v>82.75271224694923</c:v>
                </c:pt>
                <c:pt idx="306">
                  <c:v>83.130234526355679</c:v>
                </c:pt>
                <c:pt idx="307">
                  <c:v>83.504181632209566</c:v>
                </c:pt>
                <c:pt idx="308">
                  <c:v>83.874537482205753</c:v>
                </c:pt>
                <c:pt idx="309">
                  <c:v>84.241286148487774</c:v>
                </c:pt>
                <c:pt idx="310">
                  <c:v>84.604411858333009</c:v>
                </c:pt>
                <c:pt idx="311">
                  <c:v>84.963898994830942</c:v>
                </c:pt>
                <c:pt idx="312">
                  <c:v>85.319732097554805</c:v>
                </c:pt>
                <c:pt idx="313">
                  <c:v>85.671895863226467</c:v>
                </c:pt>
                <c:pt idx="314">
                  <c:v>86.020375146374661</c:v>
                </c:pt>
                <c:pt idx="315">
                  <c:v>86.365154959986242</c:v>
                </c:pt>
                <c:pt idx="316">
                  <c:v>86.706220476150776</c:v>
                </c:pt>
                <c:pt idx="317">
                  <c:v>87.043557026698252</c:v>
                </c:pt>
                <c:pt idx="318">
                  <c:v>87.377150103829933</c:v>
                </c:pt>
                <c:pt idx="319">
                  <c:v>87.706985360742195</c:v>
                </c:pt>
                <c:pt idx="320">
                  <c:v>88.033048612243675</c:v>
                </c:pt>
                <c:pt idx="321">
                  <c:v>88.355325835365235</c:v>
                </c:pt>
                <c:pt idx="322">
                  <c:v>88.673803169963037</c:v>
                </c:pt>
                <c:pt idx="323">
                  <c:v>88.988466919314746</c:v>
                </c:pt>
                <c:pt idx="324">
                  <c:v>89.29930355070843</c:v>
                </c:pt>
                <c:pt idx="325">
                  <c:v>89.606299696024692</c:v>
                </c:pt>
                <c:pt idx="326">
                  <c:v>89.909442152311428</c:v>
                </c:pt>
                <c:pt idx="327">
                  <c:v>90.208717882351863</c:v>
                </c:pt>
                <c:pt idx="328">
                  <c:v>90.504114015225042</c:v>
                </c:pt>
                <c:pt idx="329">
                  <c:v>90.7956178468595</c:v>
                </c:pt>
                <c:pt idx="330">
                  <c:v>91.083216840579567</c:v>
                </c:pt>
                <c:pt idx="331">
                  <c:v>91.366898627644517</c:v>
                </c:pt>
                <c:pt idx="332">
                  <c:v>91.646651007780562</c:v>
                </c:pt>
                <c:pt idx="333">
                  <c:v>91.922461949705465</c:v>
                </c:pt>
                <c:pt idx="334">
                  <c:v>92.194319591646106</c:v>
                </c:pt>
                <c:pt idx="335">
                  <c:v>92.462212241848491</c:v>
                </c:pt>
                <c:pt idx="336">
                  <c:v>92.726128379080592</c:v>
                </c:pt>
                <c:pt idx="337">
                  <c:v>92.986056653127918</c:v>
                </c:pt>
                <c:pt idx="338">
                  <c:v>93.241985885281593</c:v>
                </c:pt>
                <c:pt idx="339">
                  <c:v>93.493905068819132</c:v>
                </c:pt>
                <c:pt idx="340">
                  <c:v>93.741803369477779</c:v>
                </c:pt>
                <c:pt idx="341">
                  <c:v>93.985670125920507</c:v>
                </c:pt>
                <c:pt idx="342">
                  <c:v>94.22549485019448</c:v>
                </c:pt>
                <c:pt idx="343">
                  <c:v>94.461267228182152</c:v>
                </c:pt>
                <c:pt idx="344">
                  <c:v>94.692977120044802</c:v>
                </c:pt>
                <c:pt idx="345">
                  <c:v>94.920614560658663</c:v>
                </c:pt>
                <c:pt idx="346">
                  <c:v>95.14416976004344</c:v>
                </c:pt>
                <c:pt idx="347">
                  <c:v>95.363633103783357</c:v>
                </c:pt>
                <c:pt idx="348">
                  <c:v>95.578995153440744</c:v>
                </c:pt>
                <c:pt idx="349">
                  <c:v>95.79024664696172</c:v>
                </c:pt>
                <c:pt idx="350">
                  <c:v>95.997378499074841</c:v>
                </c:pt>
                <c:pt idx="351">
                  <c:v>96.20038180168153</c:v>
                </c:pt>
                <c:pt idx="352">
                  <c:v>96.399247824239382</c:v>
                </c:pt>
                <c:pt idx="353">
                  <c:v>96.593968014137573</c:v>
                </c:pt>
                <c:pt idx="354">
                  <c:v>96.784533997064671</c:v>
                </c:pt>
                <c:pt idx="355">
                  <c:v>96.970937577368801</c:v>
                </c:pt>
                <c:pt idx="356">
                  <c:v>97.153170738410125</c:v>
                </c:pt>
                <c:pt idx="357">
                  <c:v>97.331225642905594</c:v>
                </c:pt>
                <c:pt idx="358">
                  <c:v>97.505094633266012</c:v>
                </c:pt>
                <c:pt idx="359">
                  <c:v>97.674770231925379</c:v>
                </c:pt>
                <c:pt idx="360">
                  <c:v>97.84024514166245</c:v>
                </c:pt>
                <c:pt idx="361">
                  <c:v>98.001512245914597</c:v>
                </c:pt>
                <c:pt idx="362">
                  <c:v>98.158564609083825</c:v>
                </c:pt>
                <c:pt idx="363">
                  <c:v>98.311395476835131</c:v>
                </c:pt>
                <c:pt idx="364">
                  <c:v>98.459998276386898</c:v>
                </c:pt>
                <c:pt idx="365">
                  <c:v>98.604366616793627</c:v>
                </c:pt>
                <c:pt idx="366">
                  <c:v>98.744494289220754</c:v>
                </c:pt>
                <c:pt idx="367">
                  <c:v>98.880375267211718</c:v>
                </c:pt>
                <c:pt idx="368">
                  <c:v>99.01200370694707</c:v>
                </c:pt>
                <c:pt idx="369">
                  <c:v>99.139373947495912</c:v>
                </c:pt>
                <c:pt idx="370">
                  <c:v>99.262480511059238</c:v>
                </c:pt>
                <c:pt idx="371">
                  <c:v>99.381318103205544</c:v>
                </c:pt>
                <c:pt idx="372">
                  <c:v>99.495881613098589</c:v>
                </c:pt>
                <c:pt idx="373">
                  <c:v>99.606166113717151</c:v>
                </c:pt>
                <c:pt idx="374">
                  <c:v>99.712166862066923</c:v>
                </c:pt>
                <c:pt idx="375">
                  <c:v>99.813879299384453</c:v>
                </c:pt>
                <c:pt idx="376">
                  <c:v>99.911299051333316</c:v>
                </c:pt>
                <c:pt idx="377">
                  <c:v>100.0044219281921</c:v>
                </c:pt>
                <c:pt idx="378">
                  <c:v>100.09324392503473</c:v>
                </c:pt>
                <c:pt idx="379">
                  <c:v>100.1777612219026</c:v>
                </c:pt>
                <c:pt idx="380">
                  <c:v>100.25797018396888</c:v>
                </c:pt>
                <c:pt idx="381">
                  <c:v>100.33386736169493</c:v>
                </c:pt>
                <c:pt idx="382">
                  <c:v>100.40544949097851</c:v>
                </c:pt>
                <c:pt idx="383">
                  <c:v>100.47271349329428</c:v>
                </c:pt>
                <c:pt idx="384">
                  <c:v>100.5356564758261</c:v>
                </c:pt>
                <c:pt idx="385">
                  <c:v>100.59427573159152</c:v>
                </c:pt>
                <c:pt idx="386">
                  <c:v>100.64856873955816</c:v>
                </c:pt>
                <c:pt idx="387">
                  <c:v>100.69853316475213</c:v>
                </c:pt>
                <c:pt idx="388">
                  <c:v>100.74416685835853</c:v>
                </c:pt>
                <c:pt idx="389">
                  <c:v>100.78546785781364</c:v>
                </c:pt>
                <c:pt idx="390">
                  <c:v>100.82243438688965</c:v>
                </c:pt>
                <c:pt idx="391">
                  <c:v>100.85506485577076</c:v>
                </c:pt>
                <c:pt idx="392">
                  <c:v>100.88335786112172</c:v>
                </c:pt>
                <c:pt idx="393">
                  <c:v>100.90731218614815</c:v>
                </c:pt>
                <c:pt idx="394">
                  <c:v>100.92692680064874</c:v>
                </c:pt>
                <c:pt idx="395">
                  <c:v>100.94220086105986</c:v>
                </c:pt>
                <c:pt idx="396">
                  <c:v>100.95313371049149</c:v>
                </c:pt>
                <c:pt idx="397">
                  <c:v>100.95972487875569</c:v>
                </c:pt>
                <c:pt idx="398">
                  <c:v>100.96197408238675</c:v>
                </c:pt>
                <c:pt idx="399">
                  <c:v>100.95988122465343</c:v>
                </c:pt>
                <c:pt idx="400">
                  <c:v>100.95344639556302</c:v>
                </c:pt>
                <c:pt idx="401">
                  <c:v>100.94266987185758</c:v>
                </c:pt>
                <c:pt idx="402">
                  <c:v>100.92755211700194</c:v>
                </c:pt>
                <c:pt idx="403">
                  <c:v>100.90809378116387</c:v>
                </c:pt>
                <c:pt idx="404">
                  <c:v>100.88429570118603</c:v>
                </c:pt>
                <c:pt idx="405">
                  <c:v>100.85615890055007</c:v>
                </c:pt>
                <c:pt idx="406">
                  <c:v>100.82368458933247</c:v>
                </c:pt>
                <c:pt idx="407">
                  <c:v>100.78687416415265</c:v>
                </c:pt>
                <c:pt idx="408">
                  <c:v>100.74572920811282</c:v>
                </c:pt>
                <c:pt idx="409">
                  <c:v>100.70025149072995</c:v>
                </c:pt>
                <c:pt idx="410">
                  <c:v>100.65044296785959</c:v>
                </c:pt>
                <c:pt idx="411">
                  <c:v>100.59630578161183</c:v>
                </c:pt>
                <c:pt idx="412">
                  <c:v>100.53784226025914</c:v>
                </c:pt>
                <c:pt idx="413">
                  <c:v>100.47505491813624</c:v>
                </c:pt>
                <c:pt idx="414">
                  <c:v>100.40794645553197</c:v>
                </c:pt>
                <c:pt idx="415">
                  <c:v>100.33651975857316</c:v>
                </c:pt>
                <c:pt idx="416">
                  <c:v>100.26077789910056</c:v>
                </c:pt>
                <c:pt idx="417">
                  <c:v>100.18072413453656</c:v>
                </c:pt>
                <c:pt idx="418">
                  <c:v>100.09636190774533</c:v>
                </c:pt>
                <c:pt idx="419">
                  <c:v>100.00769484688456</c:v>
                </c:pt>
                <c:pt idx="420">
                  <c:v>99.91472676524954</c:v>
                </c:pt>
                <c:pt idx="421">
                  <c:v>99.817461661109135</c:v>
                </c:pt>
                <c:pt idx="422">
                  <c:v>99.715903717533749</c:v>
                </c:pt>
                <c:pt idx="423">
                  <c:v>99.610057302215608</c:v>
                </c:pt>
                <c:pt idx="424">
                  <c:v>99.4999269672807</c:v>
                </c:pt>
                <c:pt idx="425">
                  <c:v>99.385517449093157</c:v>
                </c:pt>
                <c:pt idx="426">
                  <c:v>99.266833668051532</c:v>
                </c:pt>
                <c:pt idx="427">
                  <c:v>99.143880728377113</c:v>
                </c:pt>
                <c:pt idx="428">
                  <c:v>99.016663917894505</c:v>
                </c:pt>
                <c:pt idx="429">
                  <c:v>98.885188707804161</c:v>
                </c:pt>
                <c:pt idx="430">
                  <c:v>98.749460752447064</c:v>
                </c:pt>
                <c:pt idx="431">
                  <c:v>98.609485889061631</c:v>
                </c:pt>
                <c:pt idx="432">
                  <c:v>98.465270137532571</c:v>
                </c:pt>
                <c:pt idx="433">
                  <c:v>98.316819700132044</c:v>
                </c:pt>
                <c:pt idx="434">
                  <c:v>98.164140961252983</c:v>
                </c:pt>
                <c:pt idx="435">
                  <c:v>98.007240487134368</c:v>
                </c:pt>
                <c:pt idx="436">
                  <c:v>97.846125025578985</c:v>
                </c:pt>
                <c:pt idx="437">
                  <c:v>97.680801505663069</c:v>
                </c:pt>
                <c:pt idx="438">
                  <c:v>97.511277037438504</c:v>
                </c:pt>
                <c:pt idx="439">
                  <c:v>97.337558911626857</c:v>
                </c:pt>
                <c:pt idx="440">
                  <c:v>97.15965459930591</c:v>
                </c:pt>
                <c:pt idx="441">
                  <c:v>96.977571751588357</c:v>
                </c:pt>
                <c:pt idx="442">
                  <c:v>96.791318199292746</c:v>
                </c:pt>
                <c:pt idx="443">
                  <c:v>96.600901952606677</c:v>
                </c:pt>
                <c:pt idx="444">
                  <c:v>96.406331200742315</c:v>
                </c:pt>
                <c:pt idx="445">
                  <c:v>96.207614311584237</c:v>
                </c:pt>
                <c:pt idx="446">
                  <c:v>96.004759831329523</c:v>
                </c:pt>
                <c:pt idx="447">
                  <c:v>95.797776484120163</c:v>
                </c:pt>
                <c:pt idx="448">
                  <c:v>95.586673171667982</c:v>
                </c:pt>
                <c:pt idx="449">
                  <c:v>95.371458972871679</c:v>
                </c:pt>
                <c:pt idx="450">
                  <c:v>95.152143143426443</c:v>
                </c:pt>
                <c:pt idx="451">
                  <c:v>94.928735115425894</c:v>
                </c:pt>
                <c:pt idx="452">
                  <c:v>94.701244496956363</c:v>
                </c:pt>
                <c:pt idx="453">
                  <c:v>94.469681071683823</c:v>
                </c:pt>
                <c:pt idx="454">
                  <c:v>94.234054798432936</c:v>
                </c:pt>
                <c:pt idx="455">
                  <c:v>93.994375810758939</c:v>
                </c:pt>
                <c:pt idx="456">
                  <c:v>93.750654416511665</c:v>
                </c:pt>
                <c:pt idx="457">
                  <c:v>93.50290109739241</c:v>
                </c:pt>
                <c:pt idx="458">
                  <c:v>93.251126508502963</c:v>
                </c:pt>
                <c:pt idx="459">
                  <c:v>92.995341477887536</c:v>
                </c:pt>
                <c:pt idx="460">
                  <c:v>92.735557006066927</c:v>
                </c:pt>
                <c:pt idx="461">
                  <c:v>92.471784265565532</c:v>
                </c:pt>
                <c:pt idx="462">
                  <c:v>92.204034600430845</c:v>
                </c:pt>
                <c:pt idx="463">
                  <c:v>91.93231952574547</c:v>
                </c:pt>
                <c:pt idx="464">
                  <c:v>91.65665072713206</c:v>
                </c:pt>
                <c:pt idx="465">
                  <c:v>91.377040060250607</c:v>
                </c:pt>
                <c:pt idx="466">
                  <c:v>91.093499550288684</c:v>
                </c:pt>
                <c:pt idx="467">
                  <c:v>90.806041391444182</c:v>
                </c:pt>
                <c:pt idx="468">
                  <c:v>90.51467794640098</c:v>
                </c:pt>
                <c:pt idx="469">
                  <c:v>90.219421745797135</c:v>
                </c:pt>
                <c:pt idx="470">
                  <c:v>89.920285487686073</c:v>
                </c:pt>
                <c:pt idx="471">
                  <c:v>89.61728203699046</c:v>
                </c:pt>
                <c:pt idx="472">
                  <c:v>89.310424424948948</c:v>
                </c:pt>
                <c:pt idx="473">
                  <c:v>88.99972584855567</c:v>
                </c:pt>
                <c:pt idx="474">
                  <c:v>88.685199669992741</c:v>
                </c:pt>
                <c:pt idx="475">
                  <c:v>88.36685941605559</c:v>
                </c:pt>
                <c:pt idx="476">
                  <c:v>88.044718777571191</c:v>
                </c:pt>
                <c:pt idx="477">
                  <c:v>87.718791608809227</c:v>
                </c:pt>
                <c:pt idx="478">
                  <c:v>87.389091926886351</c:v>
                </c:pt>
                <c:pt idx="479">
                  <c:v>87.055633911163341</c:v>
                </c:pt>
                <c:pt idx="480">
                  <c:v>86.718431902635132</c:v>
                </c:pt>
                <c:pt idx="481">
                  <c:v>86.377500403314329</c:v>
                </c:pt>
                <c:pt idx="482">
                  <c:v>86.032854075607233</c:v>
                </c:pt>
                <c:pt idx="483">
                  <c:v>85.68450774168349</c:v>
                </c:pt>
                <c:pt idx="484">
                  <c:v>85.332476382838479</c:v>
                </c:pt>
                <c:pt idx="485">
                  <c:v>84.976775138849121</c:v>
                </c:pt>
                <c:pt idx="486">
                  <c:v>84.617419307322649</c:v>
                </c:pt>
                <c:pt idx="487">
                  <c:v>84.254424343038849</c:v>
                </c:pt>
                <c:pt idx="488">
                  <c:v>83.887805857285244</c:v>
                </c:pt>
                <c:pt idx="489">
                  <c:v>83.517579617185845</c:v>
                </c:pt>
                <c:pt idx="490">
                  <c:v>83.143761545022926</c:v>
                </c:pt>
                <c:pt idx="491">
                  <c:v>82.76636771755237</c:v>
                </c:pt>
                <c:pt idx="492">
                  <c:v>82.385414365312172</c:v>
                </c:pt>
                <c:pt idx="493">
                  <c:v>82.000917871924457</c:v>
                </c:pt>
                <c:pt idx="494">
                  <c:v>81.612894773390849</c:v>
                </c:pt>
                <c:pt idx="495">
                  <c:v>81.221361757381359</c:v>
                </c:pt>
                <c:pt idx="496">
                  <c:v>80.826335662516613</c:v>
                </c:pt>
                <c:pt idx="497">
                  <c:v>57.049414762967473</c:v>
                </c:pt>
                <c:pt idx="498">
                  <c:v>-54.217174242382058</c:v>
                </c:pt>
                <c:pt idx="499">
                  <c:v>-80.816223629782158</c:v>
                </c:pt>
                <c:pt idx="500">
                  <c:v>-81.211336848681611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D-4E19-9CAC-05EA7148C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922896"/>
        <c:axId val="396923456"/>
      </c:scatterChart>
      <c:valAx>
        <c:axId val="39692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6923456"/>
        <c:crosses val="autoZero"/>
        <c:crossBetween val="midCat"/>
      </c:valAx>
      <c:valAx>
        <c:axId val="39692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69228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3341606159289404E-2"/>
          <c:y val="6.2991485072101228E-2"/>
          <c:w val="0.88269419920570102"/>
          <c:h val="0.88871721798894265"/>
        </c:manualLayout>
      </c:layout>
      <c:scatterChart>
        <c:scatterStyle val="lineMarker"/>
        <c:varyColors val="0"/>
        <c:ser>
          <c:idx val="0"/>
          <c:order val="0"/>
          <c:tx>
            <c:strRef>
              <c:f>wyniki!$E$1</c:f>
              <c:strCache>
                <c:ptCount val="1"/>
                <c:pt idx="0">
                  <c:v>Moment</c:v>
                </c:pt>
              </c:strCache>
            </c:strRef>
          </c:tx>
          <c:marker>
            <c:symbol val="none"/>
          </c:marker>
          <c:xVal>
            <c:numRef>
              <c:f>wyniki!$B$2:$B$501</c:f>
              <c:numCache>
                <c:formatCode>General</c:formatCode>
                <c:ptCount val="500"/>
                <c:pt idx="0">
                  <c:v>-4.3396515519668707E-2</c:v>
                </c:pt>
                <c:pt idx="1">
                  <c:v>-4.3382536414615536E-2</c:v>
                </c:pt>
                <c:pt idx="2">
                  <c:v>-4.3359471565314285E-2</c:v>
                </c:pt>
                <c:pt idx="3">
                  <c:v>-4.332732196371257E-2</c:v>
                </c:pt>
                <c:pt idx="4">
                  <c:v>-4.3286088992465048E-2</c:v>
                </c:pt>
                <c:pt idx="5">
                  <c:v>-4.3235774424873911E-2</c:v>
                </c:pt>
                <c:pt idx="6">
                  <c:v>-4.3176380424812692E-2</c:v>
                </c:pt>
                <c:pt idx="7">
                  <c:v>-4.3107909546633086E-2</c:v>
                </c:pt>
                <c:pt idx="8">
                  <c:v>-4.303036473505522E-2</c:v>
                </c:pt>
                <c:pt idx="9">
                  <c:v>-4.2943749325040914E-2</c:v>
                </c:pt>
                <c:pt idx="10">
                  <c:v>-4.2848067041650312E-2</c:v>
                </c:pt>
                <c:pt idx="11">
                  <c:v>-4.2743321999881657E-2</c:v>
                </c:pt>
                <c:pt idx="12">
                  <c:v>-4.2629518704494315E-2</c:v>
                </c:pt>
                <c:pt idx="13">
                  <c:v>-4.2506662049815055E-2</c:v>
                </c:pt>
                <c:pt idx="14">
                  <c:v>-4.2374757319527563E-2</c:v>
                </c:pt>
                <c:pt idx="15">
                  <c:v>-4.2233810186445155E-2</c:v>
                </c:pt>
                <c:pt idx="16">
                  <c:v>-4.2083826712266889E-2</c:v>
                </c:pt>
                <c:pt idx="17">
                  <c:v>-4.1924813347316799E-2</c:v>
                </c:pt>
                <c:pt idx="18">
                  <c:v>-4.1756776930266491E-2</c:v>
                </c:pt>
                <c:pt idx="19">
                  <c:v>-4.1579724687841116E-2</c:v>
                </c:pt>
                <c:pt idx="20">
                  <c:v>-4.1393664234508479E-2</c:v>
                </c:pt>
                <c:pt idx="21">
                  <c:v>-4.119860357215159E-2</c:v>
                </c:pt>
                <c:pt idx="22">
                  <c:v>-4.0994551089724524E-2</c:v>
                </c:pt>
                <c:pt idx="23">
                  <c:v>-4.0781515562891696E-2</c:v>
                </c:pt>
                <c:pt idx="24">
                  <c:v>-4.0559506153650338E-2</c:v>
                </c:pt>
                <c:pt idx="25">
                  <c:v>-4.0328532409936606E-2</c:v>
                </c:pt>
                <c:pt idx="26">
                  <c:v>-4.0088604265214808E-2</c:v>
                </c:pt>
                <c:pt idx="27">
                  <c:v>-3.9839732038050302E-2</c:v>
                </c:pt>
                <c:pt idx="28">
                  <c:v>-3.9581926431665665E-2</c:v>
                </c:pt>
                <c:pt idx="29">
                  <c:v>-3.931519853348045E-2</c:v>
                </c:pt>
                <c:pt idx="30">
                  <c:v>-3.9039559814634264E-2</c:v>
                </c:pt>
                <c:pt idx="31">
                  <c:v>-3.8755022129493513E-2</c:v>
                </c:pt>
                <c:pt idx="32">
                  <c:v>-3.8461597715141495E-2</c:v>
                </c:pt>
                <c:pt idx="33">
                  <c:v>-3.815929919085221E-2</c:v>
                </c:pt>
                <c:pt idx="34">
                  <c:v>-3.7848139557547567E-2</c:v>
                </c:pt>
                <c:pt idx="35">
                  <c:v>-3.7528132197238342E-2</c:v>
                </c:pt>
                <c:pt idx="36">
                  <c:v>-3.7199290872448547E-2</c:v>
                </c:pt>
                <c:pt idx="37">
                  <c:v>-3.6861629725623658E-2</c:v>
                </c:pt>
                <c:pt idx="38">
                  <c:v>-3.6515163278522313E-2</c:v>
                </c:pt>
                <c:pt idx="39">
                  <c:v>-3.6159906431591803E-2</c:v>
                </c:pt>
                <c:pt idx="40">
                  <c:v>-3.579587446332725E-2</c:v>
                </c:pt>
                <c:pt idx="41">
                  <c:v>-3.5423083029614555E-2</c:v>
                </c:pt>
                <c:pt idx="42">
                  <c:v>-3.5041548163057053E-2</c:v>
                </c:pt>
                <c:pt idx="43">
                  <c:v>-3.4651286272285961E-2</c:v>
                </c:pt>
                <c:pt idx="44">
                  <c:v>-3.4252314141254805E-2</c:v>
                </c:pt>
                <c:pt idx="45">
                  <c:v>-3.3844648928517497E-2</c:v>
                </c:pt>
                <c:pt idx="46">
                  <c:v>-3.3428308166490436E-2</c:v>
                </c:pt>
                <c:pt idx="47">
                  <c:v>-3.3003309760698485E-2</c:v>
                </c:pt>
                <c:pt idx="48">
                  <c:v>-3.2569671989004893E-2</c:v>
                </c:pt>
                <c:pt idx="49">
                  <c:v>-3.2127413500825285E-2</c:v>
                </c:pt>
                <c:pt idx="50">
                  <c:v>-3.1676553316325538E-2</c:v>
                </c:pt>
                <c:pt idx="51">
                  <c:v>-3.12171108256038E-2</c:v>
                </c:pt>
                <c:pt idx="52">
                  <c:v>-3.0749105787856605E-2</c:v>
                </c:pt>
                <c:pt idx="53">
                  <c:v>-3.0272558330529078E-2</c:v>
                </c:pt>
                <c:pt idx="54">
                  <c:v>-2.9787488948449313E-2</c:v>
                </c:pt>
                <c:pt idx="55">
                  <c:v>-2.929391850294695E-2</c:v>
                </c:pt>
                <c:pt idx="56">
                  <c:v>-2.8791868220956012E-2</c:v>
                </c:pt>
                <c:pt idx="57">
                  <c:v>-2.828135969410198E-2</c:v>
                </c:pt>
                <c:pt idx="58">
                  <c:v>-2.7762414877773218E-2</c:v>
                </c:pt>
                <c:pt idx="59">
                  <c:v>-2.7235056090176731E-2</c:v>
                </c:pt>
                <c:pt idx="60">
                  <c:v>-2.6699306011378321E-2</c:v>
                </c:pt>
                <c:pt idx="61">
                  <c:v>-2.6155187682327222E-2</c:v>
                </c:pt>
                <c:pt idx="62">
                  <c:v>-2.5602724503865144E-2</c:v>
                </c:pt>
                <c:pt idx="63">
                  <c:v>-2.504194023571988E-2</c:v>
                </c:pt>
                <c:pt idx="64">
                  <c:v>-2.4472858995483494E-2</c:v>
                </c:pt>
                <c:pt idx="65">
                  <c:v>-2.3895505257575084E-2</c:v>
                </c:pt>
                <c:pt idx="66">
                  <c:v>-2.3309903852188205E-2</c:v>
                </c:pt>
                <c:pt idx="67">
                  <c:v>-2.2716079964223028E-2</c:v>
                </c:pt>
                <c:pt idx="68">
                  <c:v>-2.2114059132203184E-2</c:v>
                </c:pt>
                <c:pt idx="69">
                  <c:v>-2.1503867247177445E-2</c:v>
                </c:pt>
                <c:pt idx="70">
                  <c:v>-2.0885530551606225E-2</c:v>
                </c:pt>
                <c:pt idx="71">
                  <c:v>-2.0259075638232989E-2</c:v>
                </c:pt>
                <c:pt idx="72">
                  <c:v>-1.962452944894057E-2</c:v>
                </c:pt>
                <c:pt idx="73">
                  <c:v>-1.8981919273592478E-2</c:v>
                </c:pt>
                <c:pt idx="74">
                  <c:v>-1.8331272748859248E-2</c:v>
                </c:pt>
                <c:pt idx="75">
                  <c:v>-1.767261785702989E-2</c:v>
                </c:pt>
                <c:pt idx="76">
                  <c:v>-1.700598292480842E-2</c:v>
                </c:pt>
                <c:pt idx="77">
                  <c:v>-1.6331396622095672E-2</c:v>
                </c:pt>
                <c:pt idx="78">
                  <c:v>-1.5648887960756232E-2</c:v>
                </c:pt>
                <c:pt idx="79">
                  <c:v>-1.4958486293370791E-2</c:v>
                </c:pt>
                <c:pt idx="80">
                  <c:v>-1.4260221311973726E-2</c:v>
                </c:pt>
                <c:pt idx="81">
                  <c:v>-1.3554123046776166E-2</c:v>
                </c:pt>
                <c:pt idx="82">
                  <c:v>-1.2840221864874482E-2</c:v>
                </c:pt>
                <c:pt idx="83">
                  <c:v>-1.2118548468944286E-2</c:v>
                </c:pt>
                <c:pt idx="84">
                  <c:v>-1.1389133895920027E-2</c:v>
                </c:pt>
                <c:pt idx="85">
                  <c:v>-1.0652009515660149E-2</c:v>
                </c:pt>
                <c:pt idx="86">
                  <c:v>-9.9072070295980058E-3</c:v>
                </c:pt>
                <c:pt idx="87">
                  <c:v>-9.1547584693784673E-3</c:v>
                </c:pt>
                <c:pt idx="88">
                  <c:v>-8.3946961954803299E-3</c:v>
                </c:pt>
                <c:pt idx="89">
                  <c:v>-7.6270528958246025E-3</c:v>
                </c:pt>
                <c:pt idx="90">
                  <c:v>-6.8518615843687096E-3</c:v>
                </c:pt>
                <c:pt idx="91">
                  <c:v>-6.0691555996866403E-3</c:v>
                </c:pt>
                <c:pt idx="92">
                  <c:v>-5.278968603535176E-3</c:v>
                </c:pt>
                <c:pt idx="93">
                  <c:v>-4.481334579406201E-3</c:v>
                </c:pt>
                <c:pt idx="94">
                  <c:v>-3.676287831065174E-3</c:v>
                </c:pt>
                <c:pt idx="95">
                  <c:v>-2.8638629810758287E-3</c:v>
                </c:pt>
                <c:pt idx="96">
                  <c:v>-2.0440949693111689E-3</c:v>
                </c:pt>
                <c:pt idx="97">
                  <c:v>-1.2170190514508106E-3</c:v>
                </c:pt>
                <c:pt idx="98">
                  <c:v>-3.8270190176670649E-4</c:v>
                </c:pt>
                <c:pt idx="99">
                  <c:v>4.5553374351790468E-4</c:v>
                </c:pt>
                <c:pt idx="100">
                  <c:v>1.2892410004675869E-3</c:v>
                </c:pt>
                <c:pt idx="101">
                  <c:v>2.1156820574416324E-3</c:v>
                </c:pt>
                <c:pt idx="102">
                  <c:v>2.9348121295813519E-3</c:v>
                </c:pt>
                <c:pt idx="103">
                  <c:v>3.7465959886429341E-3</c:v>
                </c:pt>
                <c:pt idx="104">
                  <c:v>4.5509987223204063E-3</c:v>
                </c:pt>
                <c:pt idx="105">
                  <c:v>5.347985735747106E-3</c:v>
                </c:pt>
                <c:pt idx="106">
                  <c:v>6.1375227529835005E-3</c:v>
                </c:pt>
                <c:pt idx="107">
                  <c:v>6.9195758184912833E-3</c:v>
                </c:pt>
                <c:pt idx="108">
                  <c:v>7.6941112985937027E-3</c:v>
                </c:pt>
                <c:pt idx="109">
                  <c:v>8.4610958829220376E-3</c:v>
                </c:pt>
                <c:pt idx="110">
                  <c:v>9.220496585848172E-3</c:v>
                </c:pt>
                <c:pt idx="111">
                  <c:v>9.9722807479032116E-3</c:v>
                </c:pt>
                <c:pt idx="112">
                  <c:v>1.0716416037182057E-2</c:v>
                </c:pt>
                <c:pt idx="113">
                  <c:v>1.1452870450733909E-2</c:v>
                </c:pt>
                <c:pt idx="114">
                  <c:v>1.2181612315938605E-2</c:v>
                </c:pt>
                <c:pt idx="115">
                  <c:v>1.2902610291868771E-2</c:v>
                </c:pt>
                <c:pt idx="116">
                  <c:v>1.3615833370637688E-2</c:v>
                </c:pt>
                <c:pt idx="117">
                  <c:v>1.4321250878732849E-2</c:v>
                </c:pt>
                <c:pt idx="118">
                  <c:v>1.5018832478335138E-2</c:v>
                </c:pt>
                <c:pt idx="119">
                  <c:v>1.5708548168623552E-2</c:v>
                </c:pt>
                <c:pt idx="120">
                  <c:v>1.6390368287065464E-2</c:v>
                </c:pt>
                <c:pt idx="121">
                  <c:v>1.7064263510692287E-2</c:v>
                </c:pt>
                <c:pt idx="122">
                  <c:v>1.7730204857360585E-2</c:v>
                </c:pt>
                <c:pt idx="123">
                  <c:v>1.8388163686998506E-2</c:v>
                </c:pt>
                <c:pt idx="124">
                  <c:v>1.9038111702837496E-2</c:v>
                </c:pt>
                <c:pt idx="125">
                  <c:v>1.9680020952629256E-2</c:v>
                </c:pt>
                <c:pt idx="126">
                  <c:v>2.0313863829847876E-2</c:v>
                </c:pt>
                <c:pt idx="127">
                  <c:v>2.0939613074877114E-2</c:v>
                </c:pt>
                <c:pt idx="128">
                  <c:v>2.1557241776182762E-2</c:v>
                </c:pt>
                <c:pt idx="129">
                  <c:v>2.2166723371469979E-2</c:v>
                </c:pt>
                <c:pt idx="130">
                  <c:v>2.2768031648825723E-2</c:v>
                </c:pt>
                <c:pt idx="131">
                  <c:v>2.3361140747845972E-2</c:v>
                </c:pt>
                <c:pt idx="132">
                  <c:v>2.3946025160747939E-2</c:v>
                </c:pt>
                <c:pt idx="133">
                  <c:v>2.4522659733467102E-2</c:v>
                </c:pt>
                <c:pt idx="134">
                  <c:v>2.5091019666738965E-2</c:v>
                </c:pt>
                <c:pt idx="135">
                  <c:v>2.5651080517165591E-2</c:v>
                </c:pt>
                <c:pt idx="136">
                  <c:v>2.6202818198266892E-2</c:v>
                </c:pt>
                <c:pt idx="137">
                  <c:v>2.6746208981516442E-2</c:v>
                </c:pt>
                <c:pt idx="138">
                  <c:v>2.7281229497362027E-2</c:v>
                </c:pt>
                <c:pt idx="139">
                  <c:v>2.7807856736230662E-2</c:v>
                </c:pt>
                <c:pt idx="140">
                  <c:v>2.8326068049518184E-2</c:v>
                </c:pt>
                <c:pt idx="141">
                  <c:v>2.8835841150563278E-2</c:v>
                </c:pt>
                <c:pt idx="142">
                  <c:v>2.9337154115605956E-2</c:v>
                </c:pt>
                <c:pt idx="143">
                  <c:v>2.9829985384730459E-2</c:v>
                </c:pt>
                <c:pt idx="144">
                  <c:v>3.031431376279245E-2</c:v>
                </c:pt>
                <c:pt idx="145">
                  <c:v>3.0790118420330567E-2</c:v>
                </c:pt>
                <c:pt idx="146">
                  <c:v>3.1257378894462229E-2</c:v>
                </c:pt>
                <c:pt idx="147">
                  <c:v>3.17160750897637E-2</c:v>
                </c:pt>
                <c:pt idx="148">
                  <c:v>3.2166187279134298E-2</c:v>
                </c:pt>
                <c:pt idx="149">
                  <c:v>3.2607696104644791E-2</c:v>
                </c:pt>
                <c:pt idx="150">
                  <c:v>3.3040582578369969E-2</c:v>
                </c:pt>
                <c:pt idx="151">
                  <c:v>3.3464828083205257E-2</c:v>
                </c:pt>
                <c:pt idx="152">
                  <c:v>3.3880414373667289E-2</c:v>
                </c:pt>
                <c:pt idx="153">
                  <c:v>3.4287323576678699E-2</c:v>
                </c:pt>
                <c:pt idx="154">
                  <c:v>3.4685538192336718E-2</c:v>
                </c:pt>
                <c:pt idx="155">
                  <c:v>3.5075041094665804E-2</c:v>
                </c:pt>
                <c:pt idx="156">
                  <c:v>3.5455815532354232E-2</c:v>
                </c:pt>
                <c:pt idx="157">
                  <c:v>3.5827845129474414E-2</c:v>
                </c:pt>
                <c:pt idx="158">
                  <c:v>3.6191113886187253E-2</c:v>
                </c:pt>
                <c:pt idx="159">
                  <c:v>3.6545606179430222E-2</c:v>
                </c:pt>
                <c:pt idx="160">
                  <c:v>3.6891306763589295E-2</c:v>
                </c:pt>
                <c:pt idx="161">
                  <c:v>3.7228200771154553E-2</c:v>
                </c:pt>
                <c:pt idx="162">
                  <c:v>3.7556273713359643E-2</c:v>
                </c:pt>
                <c:pt idx="163">
                  <c:v>3.7875511480804848E-2</c:v>
                </c:pt>
                <c:pt idx="164">
                  <c:v>3.8185900344063925E-2</c:v>
                </c:pt>
                <c:pt idx="165">
                  <c:v>3.8487426954274553E-2</c:v>
                </c:pt>
                <c:pt idx="166">
                  <c:v>3.878007834371245E-2</c:v>
                </c:pt>
                <c:pt idx="167">
                  <c:v>3.9063841926349041E-2</c:v>
                </c:pt>
                <c:pt idx="168">
                  <c:v>3.9338705498392738E-2</c:v>
                </c:pt>
                <c:pt idx="169">
                  <c:v>3.960465723881381E-2</c:v>
                </c:pt>
                <c:pt idx="170">
                  <c:v>3.9861685709852795E-2</c:v>
                </c:pt>
                <c:pt idx="171">
                  <c:v>4.0109779857512316E-2</c:v>
                </c:pt>
                <c:pt idx="172">
                  <c:v>4.0348929012032596E-2</c:v>
                </c:pt>
                <c:pt idx="173">
                  <c:v>4.0579122888350201E-2</c:v>
                </c:pt>
                <c:pt idx="174">
                  <c:v>4.0800351586540509E-2</c:v>
                </c:pt>
                <c:pt idx="175">
                  <c:v>4.1012605592243345E-2</c:v>
                </c:pt>
                <c:pt idx="176">
                  <c:v>4.121587577707226E-2</c:v>
                </c:pt>
                <c:pt idx="177">
                  <c:v>4.1410153399007048E-2</c:v>
                </c:pt>
                <c:pt idx="178">
                  <c:v>4.1595430102769747E-2</c:v>
                </c:pt>
                <c:pt idx="179">
                  <c:v>4.1771697920184002E-2</c:v>
                </c:pt>
                <c:pt idx="180">
                  <c:v>4.1938949270517667E-2</c:v>
                </c:pt>
                <c:pt idx="181">
                  <c:v>4.2097176960808926E-2</c:v>
                </c:pt>
                <c:pt idx="182">
                  <c:v>4.2246374186175578E-2</c:v>
                </c:pt>
                <c:pt idx="183">
                  <c:v>4.2386534530107683E-2</c:v>
                </c:pt>
                <c:pt idx="184">
                  <c:v>4.2517651964743587E-2</c:v>
                </c:pt>
                <c:pt idx="185">
                  <c:v>4.263972085112909E-2</c:v>
                </c:pt>
                <c:pt idx="186">
                  <c:v>4.275273593946001E-2</c:v>
                </c:pt>
                <c:pt idx="187">
                  <c:v>4.2856692369307899E-2</c:v>
                </c:pt>
                <c:pt idx="188">
                  <c:v>4.2951585669829144E-2</c:v>
                </c:pt>
                <c:pt idx="189">
                  <c:v>4.303741175995722E-2</c:v>
                </c:pt>
                <c:pt idx="190">
                  <c:v>4.3114166948578163E-2</c:v>
                </c:pt>
                <c:pt idx="191">
                  <c:v>4.3181847934689398E-2</c:v>
                </c:pt>
                <c:pt idx="192">
                  <c:v>4.3240451807541595E-2</c:v>
                </c:pt>
                <c:pt idx="193">
                  <c:v>4.3289976046763969E-2</c:v>
                </c:pt>
                <c:pt idx="194">
                  <c:v>4.3330418522472609E-2</c:v>
                </c:pt>
                <c:pt idx="195">
                  <c:v>4.3361777495362047E-2</c:v>
                </c:pt>
                <c:pt idx="196">
                  <c:v>4.3384051616780127E-2</c:v>
                </c:pt>
                <c:pt idx="197">
                  <c:v>4.339723992878599E-2</c:v>
                </c:pt>
                <c:pt idx="198">
                  <c:v>4.3401341864191208E-2</c:v>
                </c:pt>
                <c:pt idx="199">
                  <c:v>4.3396357246584291E-2</c:v>
                </c:pt>
                <c:pt idx="200">
                  <c:v>4.3382286290338169E-2</c:v>
                </c:pt>
                <c:pt idx="201">
                  <c:v>4.3359129600601017E-2</c:v>
                </c:pt>
                <c:pt idx="202">
                  <c:v>4.3326888173270253E-2</c:v>
                </c:pt>
                <c:pt idx="203">
                  <c:v>4.3285563394949669E-2</c:v>
                </c:pt>
                <c:pt idx="204">
                  <c:v>4.3235157042889799E-2</c:v>
                </c:pt>
                <c:pt idx="205">
                  <c:v>4.3175671284911524E-2</c:v>
                </c:pt>
                <c:pt idx="206">
                  <c:v>4.3107108679312778E-2</c:v>
                </c:pt>
                <c:pt idx="207">
                  <c:v>4.3029472174758575E-2</c:v>
                </c:pt>
                <c:pt idx="208">
                  <c:v>4.2942765110154185E-2</c:v>
                </c:pt>
                <c:pt idx="209">
                  <c:v>4.2846991214501536E-2</c:v>
                </c:pt>
                <c:pt idx="210">
                  <c:v>4.2742154606738823E-2</c:v>
                </c:pt>
                <c:pt idx="211">
                  <c:v>4.2628259795563388E-2</c:v>
                </c:pt>
                <c:pt idx="212">
                  <c:v>4.2505311679237795E-2</c:v>
                </c:pt>
                <c:pt idx="213">
                  <c:v>4.2373315545379216E-2</c:v>
                </c:pt>
                <c:pt idx="214">
                  <c:v>4.2232277070731968E-2</c:v>
                </c:pt>
                <c:pt idx="215">
                  <c:v>4.2082202320923405E-2</c:v>
                </c:pt>
                <c:pt idx="216">
                  <c:v>4.1923097750203031E-2</c:v>
                </c:pt>
                <c:pt idx="217">
                  <c:v>4.175497020116499E-2</c:v>
                </c:pt>
                <c:pt idx="218">
                  <c:v>4.1577826904453656E-2</c:v>
                </c:pt>
                <c:pt idx="219">
                  <c:v>4.1391675478452836E-2</c:v>
                </c:pt>
                <c:pt idx="220">
                  <c:v>4.1196523928957993E-2</c:v>
                </c:pt>
                <c:pt idx="221">
                  <c:v>4.099238064883199E-2</c:v>
                </c:pt>
                <c:pt idx="222">
                  <c:v>4.0779254417644163E-2</c:v>
                </c:pt>
                <c:pt idx="223">
                  <c:v>4.055715440129265E-2</c:v>
                </c:pt>
                <c:pt idx="224">
                  <c:v>4.0326090151610337E-2</c:v>
                </c:pt>
                <c:pt idx="225">
                  <c:v>4.0086071605953906E-2</c:v>
                </c:pt>
                <c:pt idx="226">
                  <c:v>3.9837109086776588E-2</c:v>
                </c:pt>
                <c:pt idx="227">
                  <c:v>3.9579213301184156E-2</c:v>
                </c:pt>
                <c:pt idx="228">
                  <c:v>3.9312395340474475E-2</c:v>
                </c:pt>
                <c:pt idx="229">
                  <c:v>3.9036666679660444E-2</c:v>
                </c:pt>
                <c:pt idx="230">
                  <c:v>3.8752039176976602E-2</c:v>
                </c:pt>
                <c:pt idx="231">
                  <c:v>3.8458525073369054E-2</c:v>
                </c:pt>
                <c:pt idx="232">
                  <c:v>3.8156136991969021E-2</c:v>
                </c:pt>
                <c:pt idx="233">
                  <c:v>3.7844887937550011E-2</c:v>
                </c:pt>
                <c:pt idx="234">
                  <c:v>3.7524791295968481E-2</c:v>
                </c:pt>
                <c:pt idx="235">
                  <c:v>3.7195860833588203E-2</c:v>
                </c:pt>
                <c:pt idx="236">
                  <c:v>3.6858110696688137E-2</c:v>
                </c:pt>
                <c:pt idx="237">
                  <c:v>3.6511555410854157E-2</c:v>
                </c:pt>
                <c:pt idx="238">
                  <c:v>3.6156209880354201E-2</c:v>
                </c:pt>
                <c:pt idx="239">
                  <c:v>3.5792089387497408E-2</c:v>
                </c:pt>
                <c:pt idx="240">
                  <c:v>3.5419209591976857E-2</c:v>
                </c:pt>
                <c:pt idx="241">
                  <c:v>3.5037586530196035E-2</c:v>
                </c:pt>
                <c:pt idx="242">
                  <c:v>3.464723661457917E-2</c:v>
                </c:pt>
                <c:pt idx="243">
                  <c:v>3.4248176632865453E-2</c:v>
                </c:pt>
                <c:pt idx="244">
                  <c:v>3.3840423747387001E-2</c:v>
                </c:pt>
                <c:pt idx="245">
                  <c:v>3.3423995494330713E-2</c:v>
                </c:pt>
                <c:pt idx="246">
                  <c:v>3.2998909782984184E-2</c:v>
                </c:pt>
                <c:pt idx="247">
                  <c:v>3.2565184894965425E-2</c:v>
                </c:pt>
                <c:pt idx="248">
                  <c:v>3.2122839483436631E-2</c:v>
                </c:pt>
                <c:pt idx="249">
                  <c:v>3.1671892572302004E-2</c:v>
                </c:pt>
                <c:pt idx="250">
                  <c:v>3.1212363555389526E-2</c:v>
                </c:pt>
                <c:pt idx="251">
                  <c:v>3.074427219561696E-2</c:v>
                </c:pt>
                <c:pt idx="252">
                  <c:v>3.0267638624141877E-2</c:v>
                </c:pt>
                <c:pt idx="253">
                  <c:v>2.978248333949586E-2</c:v>
                </c:pt>
                <c:pt idx="254">
                  <c:v>2.9288827206702974E-2</c:v>
                </c:pt>
                <c:pt idx="255">
                  <c:v>2.8786691456382366E-2</c:v>
                </c:pt>
                <c:pt idx="256">
                  <c:v>2.8276097683835259E-2</c:v>
                </c:pt>
                <c:pt idx="257">
                  <c:v>2.7757067848116164E-2</c:v>
                </c:pt>
                <c:pt idx="258">
                  <c:v>2.7229624271088493E-2</c:v>
                </c:pt>
                <c:pt idx="259">
                  <c:v>2.6693789636464606E-2</c:v>
                </c:pt>
                <c:pt idx="260">
                  <c:v>2.6149586988830197E-2</c:v>
                </c:pt>
                <c:pt idx="261">
                  <c:v>2.5597039732653259E-2</c:v>
                </c:pt>
                <c:pt idx="262">
                  <c:v>2.5036171631277523E-2</c:v>
                </c:pt>
                <c:pt idx="263">
                  <c:v>2.446700680590045E-2</c:v>
                </c:pt>
                <c:pt idx="264">
                  <c:v>2.3889569734535872E-2</c:v>
                </c:pt>
                <c:pt idx="265">
                  <c:v>2.3303885250961259E-2</c:v>
                </c:pt>
                <c:pt idx="266">
                  <c:v>2.2709978543649725E-2</c:v>
                </c:pt>
                <c:pt idx="267">
                  <c:v>2.2107875154686693E-2</c:v>
                </c:pt>
                <c:pt idx="268">
                  <c:v>2.1497600978671458E-2</c:v>
                </c:pt>
                <c:pt idx="269">
                  <c:v>2.0879182261603523E-2</c:v>
                </c:pt>
                <c:pt idx="270">
                  <c:v>2.025264559975384E-2</c:v>
                </c:pt>
                <c:pt idx="271">
                  <c:v>1.9618017938520978E-2</c:v>
                </c:pt>
                <c:pt idx="272">
                  <c:v>1.8975326571272304E-2</c:v>
                </c:pt>
                <c:pt idx="273">
                  <c:v>1.8324599138170177E-2</c:v>
                </c:pt>
                <c:pt idx="274">
                  <c:v>1.7665863624983218E-2</c:v>
                </c:pt>
                <c:pt idx="275">
                  <c:v>1.6999148361882727E-2</c:v>
                </c:pt>
                <c:pt idx="276">
                  <c:v>1.63244820222243E-2</c:v>
                </c:pt>
                <c:pt idx="277">
                  <c:v>1.5641893621314691E-2</c:v>
                </c:pt>
                <c:pt idx="278">
                  <c:v>1.4951412515163917E-2</c:v>
                </c:pt>
                <c:pt idx="279">
                  <c:v>1.4253068399222781E-2</c:v>
                </c:pt>
                <c:pt idx="280">
                  <c:v>1.3546891307105739E-2</c:v>
                </c:pt>
                <c:pt idx="281">
                  <c:v>1.2832911609299266E-2</c:v>
                </c:pt>
                <c:pt idx="282">
                  <c:v>1.2111160011855708E-2</c:v>
                </c:pt>
                <c:pt idx="283">
                  <c:v>1.1381667555072706E-2</c:v>
                </c:pt>
                <c:pt idx="284">
                  <c:v>1.0644465612158248E-2</c:v>
                </c:pt>
                <c:pt idx="285">
                  <c:v>9.8995858878814132E-3</c:v>
                </c:pt>
                <c:pt idx="286">
                  <c:v>9.1470604172088511E-3</c:v>
                </c:pt>
                <c:pt idx="287">
                  <c:v>8.3869215639270356E-3</c:v>
                </c:pt>
                <c:pt idx="288">
                  <c:v>7.6192020192504262E-3</c:v>
                </c:pt>
                <c:pt idx="289">
                  <c:v>6.8439348004154981E-3</c:v>
                </c:pt>
                <c:pt idx="290">
                  <c:v>6.0611532492607879E-3</c:v>
                </c:pt>
                <c:pt idx="291">
                  <c:v>5.2708910307929565E-3</c:v>
                </c:pt>
                <c:pt idx="292">
                  <c:v>4.4731821317389635E-3</c:v>
                </c:pt>
                <c:pt idx="293">
                  <c:v>3.6680608590844072E-3</c:v>
                </c:pt>
                <c:pt idx="294">
                  <c:v>2.8555618385980811E-3</c:v>
                </c:pt>
                <c:pt idx="295">
                  <c:v>2.0357200133428316E-3</c:v>
                </c:pt>
                <c:pt idx="296">
                  <c:v>1.2085706421727641E-3</c:v>
                </c:pt>
                <c:pt idx="297">
                  <c:v>3.7418399800900448E-4</c:v>
                </c:pt>
                <c:pt idx="298">
                  <c:v>-4.6404636074708706E-4</c:v>
                </c:pt>
                <c:pt idx="299">
                  <c:v>-1.2976795641064024E-3</c:v>
                </c:pt>
                <c:pt idx="300">
                  <c:v>-2.1240444075461633E-3</c:v>
                </c:pt>
                <c:pt idx="301">
                  <c:v>-2.9430979065128557E-3</c:v>
                </c:pt>
                <c:pt idx="302">
                  <c:v>-3.754804836055844E-3</c:v>
                </c:pt>
                <c:pt idx="303">
                  <c:v>-4.5591302871776556E-3</c:v>
                </c:pt>
                <c:pt idx="304">
                  <c:v>-5.3560396683353124E-3</c:v>
                </c:pt>
                <c:pt idx="305">
                  <c:v>-6.1454987069280024E-3</c:v>
                </c:pt>
                <c:pt idx="306">
                  <c:v>-6.9274734507710403E-3</c:v>
                </c:pt>
                <c:pt idx="307">
                  <c:v>-7.7019302695560442E-3</c:v>
                </c:pt>
                <c:pt idx="308">
                  <c:v>-8.4688358562972701E-3</c:v>
                </c:pt>
                <c:pt idx="309">
                  <c:v>-9.2281572287640536E-3</c:v>
                </c:pt>
                <c:pt idx="310">
                  <c:v>-9.979861730899247E-3</c:v>
                </c:pt>
                <c:pt idx="311">
                  <c:v>-1.0723917034223682E-2</c:v>
                </c:pt>
                <c:pt idx="312">
                  <c:v>-1.1460291139226505E-2</c:v>
                </c:pt>
                <c:pt idx="313">
                  <c:v>-1.2188952376741377E-2</c:v>
                </c:pt>
                <c:pt idx="314">
                  <c:v>-1.2909869409308466E-2</c:v>
                </c:pt>
                <c:pt idx="315">
                  <c:v>-1.3623011232522181E-2</c:v>
                </c:pt>
                <c:pt idx="316">
                  <c:v>-1.4328347176364564E-2</c:v>
                </c:pt>
                <c:pt idx="317">
                  <c:v>-1.5025846906524323E-2</c:v>
                </c:pt>
                <c:pt idx="318">
                  <c:v>-1.5715480425701412E-2</c:v>
                </c:pt>
                <c:pt idx="319">
                  <c:v>-1.6397218074897114E-2</c:v>
                </c:pt>
                <c:pt idx="320">
                  <c:v>-1.7071030534689603E-2</c:v>
                </c:pt>
                <c:pt idx="321">
                  <c:v>-1.7736888826494848E-2</c:v>
                </c:pt>
                <c:pt idx="322">
                  <c:v>-1.8394764313812942E-2</c:v>
                </c:pt>
                <c:pt idx="323">
                  <c:v>-1.9044628703459618E-2</c:v>
                </c:pt>
                <c:pt idx="324">
                  <c:v>-1.9686454046783073E-2</c:v>
                </c:pt>
                <c:pt idx="325">
                  <c:v>-2.0320212740865966E-2</c:v>
                </c:pt>
                <c:pt idx="326">
                  <c:v>-2.0945877529712512E-2</c:v>
                </c:pt>
                <c:pt idx="327">
                  <c:v>-2.1563421505420677E-2</c:v>
                </c:pt>
                <c:pt idx="328">
                  <c:v>-2.2172818109339441E-2</c:v>
                </c:pt>
                <c:pt idx="329">
                  <c:v>-2.2774041133210948E-2</c:v>
                </c:pt>
                <c:pt idx="330">
                  <c:v>-2.3367064720297676E-2</c:v>
                </c:pt>
                <c:pt idx="331">
                  <c:v>-2.3951863366494443E-2</c:v>
                </c:pt>
                <c:pt idx="332">
                  <c:v>-2.4528411921425283E-2</c:v>
                </c:pt>
                <c:pt idx="333">
                  <c:v>-2.5096685589525058E-2</c:v>
                </c:pt>
                <c:pt idx="334">
                  <c:v>-2.5656659931105847E-2</c:v>
                </c:pt>
                <c:pt idx="335">
                  <c:v>-2.6208310863408003E-2</c:v>
                </c:pt>
                <c:pt idx="336">
                  <c:v>-2.675161466163593E-2</c:v>
                </c:pt>
                <c:pt idx="337">
                  <c:v>-2.7286547959978348E-2</c:v>
                </c:pt>
                <c:pt idx="338">
                  <c:v>-2.7813087752613239E-2</c:v>
                </c:pt>
                <c:pt idx="339">
                  <c:v>-2.8331211394697221E-2</c:v>
                </c:pt>
                <c:pt idx="340">
                  <c:v>-2.8840896603339456E-2</c:v>
                </c:pt>
                <c:pt idx="341">
                  <c:v>-2.9342121458559932E-2</c:v>
                </c:pt>
                <c:pt idx="342">
                  <c:v>-2.9834864404232206E-2</c:v>
                </c:pt>
                <c:pt idx="343">
                  <c:v>-3.0319104249010475E-2</c:v>
                </c:pt>
                <c:pt idx="344">
                  <c:v>-3.0794820167240923E-2</c:v>
                </c:pt>
                <c:pt idx="345">
                  <c:v>-3.1261991699857362E-2</c:v>
                </c:pt>
                <c:pt idx="346">
                  <c:v>-3.1720598755261148E-2</c:v>
                </c:pt>
                <c:pt idx="347">
                  <c:v>-3.2170621610185246E-2</c:v>
                </c:pt>
                <c:pt idx="348">
                  <c:v>-3.2612040910542414E-2</c:v>
                </c:pt>
                <c:pt idx="349">
                  <c:v>-3.304483767225766E-2</c:v>
                </c:pt>
                <c:pt idx="350">
                  <c:v>-3.3468993282084601E-2</c:v>
                </c:pt>
                <c:pt idx="351">
                  <c:v>-3.3884489498406001E-2</c:v>
                </c:pt>
                <c:pt idx="352">
                  <c:v>-3.4291308452018311E-2</c:v>
                </c:pt>
                <c:pt idx="353">
                  <c:v>-3.4689432646900088E-2</c:v>
                </c:pt>
                <c:pt idx="354">
                  <c:v>-3.5078844960964542E-2</c:v>
                </c:pt>
                <c:pt idx="355">
                  <c:v>-3.5459528646795829E-2</c:v>
                </c:pt>
                <c:pt idx="356">
                  <c:v>-3.5831467332369346E-2</c:v>
                </c:pt>
                <c:pt idx="357">
                  <c:v>-3.6194645021755803E-2</c:v>
                </c:pt>
                <c:pt idx="358">
                  <c:v>-3.6549046095809223E-2</c:v>
                </c:pt>
                <c:pt idx="359">
                  <c:v>-3.6894655312838601E-2</c:v>
                </c:pt>
                <c:pt idx="360">
                  <c:v>-3.723145780926345E-2</c:v>
                </c:pt>
                <c:pt idx="361">
                  <c:v>-3.7559439100253E-2</c:v>
                </c:pt>
                <c:pt idx="362">
                  <c:v>-3.7878585080349185E-2</c:v>
                </c:pt>
                <c:pt idx="363">
                  <c:v>-3.8188882024073278E-2</c:v>
                </c:pt>
                <c:pt idx="364">
                  <c:v>-3.8490316586516124E-2</c:v>
                </c:pt>
                <c:pt idx="365">
                  <c:v>-3.8782875803912126E-2</c:v>
                </c:pt>
                <c:pt idx="366">
                  <c:v>-3.906654709419672E-2</c:v>
                </c:pt>
                <c:pt idx="367">
                  <c:v>-3.9341318257547546E-2</c:v>
                </c:pt>
                <c:pt idx="368">
                  <c:v>-3.9607177476909089E-2</c:v>
                </c:pt>
                <c:pt idx="369">
                  <c:v>-3.9864113318500899E-2</c:v>
                </c:pt>
                <c:pt idx="370">
                  <c:v>-4.0112114732309335E-2</c:v>
                </c:pt>
                <c:pt idx="371">
                  <c:v>-4.0351171052562793E-2</c:v>
                </c:pt>
                <c:pt idx="372">
                  <c:v>-4.05812719981904E-2</c:v>
                </c:pt>
                <c:pt idx="373">
                  <c:v>-4.0802407673264131E-2</c:v>
                </c:pt>
                <c:pt idx="374">
                  <c:v>-4.1014568567424477E-2</c:v>
                </c:pt>
                <c:pt idx="375">
                  <c:v>-4.1217745556289417E-2</c:v>
                </c:pt>
                <c:pt idx="376">
                  <c:v>-4.1411929901846847E-2</c:v>
                </c:pt>
                <c:pt idx="377">
                  <c:v>-4.1597113252830317E-2</c:v>
                </c:pt>
                <c:pt idx="378">
                  <c:v>-4.1773287645078261E-2</c:v>
                </c:pt>
                <c:pt idx="379">
                  <c:v>-4.1940445501876499E-2</c:v>
                </c:pt>
                <c:pt idx="380">
                  <c:v>-4.2098579634284046E-2</c:v>
                </c:pt>
                <c:pt idx="381">
                  <c:v>-4.2247683241442353E-2</c:v>
                </c:pt>
                <c:pt idx="382">
                  <c:v>-4.2387749910867731E-2</c:v>
                </c:pt>
                <c:pt idx="383">
                  <c:v>-4.2518773618727128E-2</c:v>
                </c:pt>
                <c:pt idx="384">
                  <c:v>-4.2640748730097273E-2</c:v>
                </c:pt>
                <c:pt idx="385">
                  <c:v>-4.275366999920692E-2</c:v>
                </c:pt>
                <c:pt idx="386">
                  <c:v>-4.2857532569662536E-2</c:v>
                </c:pt>
                <c:pt idx="387">
                  <c:v>-4.2952331974657108E-2</c:v>
                </c:pt>
                <c:pt idx="388">
                  <c:v>-4.3038064137162248E-2</c:v>
                </c:pt>
                <c:pt idx="389">
                  <c:v>-4.3114725370103538E-2</c:v>
                </c:pt>
                <c:pt idx="390">
                  <c:v>-4.3182312376519143E-2</c:v>
                </c:pt>
                <c:pt idx="391">
                  <c:v>-4.3240822249701515E-2</c:v>
                </c:pt>
                <c:pt idx="392">
                  <c:v>-4.3290252473322507E-2</c:v>
                </c:pt>
                <c:pt idx="393">
                  <c:v>-4.3330600921541486E-2</c:v>
                </c:pt>
                <c:pt idx="394">
                  <c:v>-4.3361865859096869E-2</c:v>
                </c:pt>
                <c:pt idx="395">
                  <c:v>-4.3384045941380636E-2</c:v>
                </c:pt>
                <c:pt idx="396">
                  <c:v>-4.3397140214496255E-2</c:v>
                </c:pt>
                <c:pt idx="397">
                  <c:v>-4.3401148115299631E-2</c:v>
                </c:pt>
                <c:pt idx="398">
                  <c:v>-4.3396069471423424E-2</c:v>
                </c:pt>
                <c:pt idx="399">
                  <c:v>-4.3381904501284319E-2</c:v>
                </c:pt>
                <c:pt idx="400">
                  <c:v>-4.3358653814073757E-2</c:v>
                </c:pt>
                <c:pt idx="401">
                  <c:v>-4.3326318409731682E-2</c:v>
                </c:pt>
                <c:pt idx="402">
                  <c:v>-4.3284899678903539E-2</c:v>
                </c:pt>
                <c:pt idx="403">
                  <c:v>-4.3234399402880486E-2</c:v>
                </c:pt>
                <c:pt idx="404">
                  <c:v>-4.3174819753522761E-2</c:v>
                </c:pt>
                <c:pt idx="405">
                  <c:v>-4.3106163293166293E-2</c:v>
                </c:pt>
                <c:pt idx="406">
                  <c:v>-4.3028432974512504E-2</c:v>
                </c:pt>
                <c:pt idx="407">
                  <c:v>-4.2941632140501312E-2</c:v>
                </c:pt>
                <c:pt idx="408">
                  <c:v>-4.2845764524167364E-2</c:v>
                </c:pt>
                <c:pt idx="409">
                  <c:v>-4.2740834248479506E-2</c:v>
                </c:pt>
                <c:pt idx="410">
                  <c:v>-4.2626845826163426E-2</c:v>
                </c:pt>
                <c:pt idx="411">
                  <c:v>-4.2503804159507649E-2</c:v>
                </c:pt>
                <c:pt idx="412">
                  <c:v>-4.2371714540152629E-2</c:v>
                </c:pt>
                <c:pt idx="413">
                  <c:v>-4.2230582648863195E-2</c:v>
                </c:pt>
                <c:pt idx="414">
                  <c:v>-4.2080414555284266E-2</c:v>
                </c:pt>
                <c:pt idx="415">
                  <c:v>-4.1921216717679795E-2</c:v>
                </c:pt>
                <c:pt idx="416">
                  <c:v>-4.1752995982655014E-2</c:v>
                </c:pt>
                <c:pt idx="417">
                  <c:v>-4.1575759584861982E-2</c:v>
                </c:pt>
                <c:pt idx="418">
                  <c:v>-4.1389515146688476E-2</c:v>
                </c:pt>
                <c:pt idx="419">
                  <c:v>-4.1194270677930106E-2</c:v>
                </c:pt>
                <c:pt idx="420">
                  <c:v>-4.0990034575445901E-2</c:v>
                </c:pt>
                <c:pt idx="421">
                  <c:v>-4.0776815622797218E-2</c:v>
                </c:pt>
                <c:pt idx="422">
                  <c:v>-4.0554622989869865E-2</c:v>
                </c:pt>
                <c:pt idx="423">
                  <c:v>-4.0323466232479843E-2</c:v>
                </c:pt>
                <c:pt idx="424">
                  <c:v>-4.0083355291962344E-2</c:v>
                </c:pt>
                <c:pt idx="425">
                  <c:v>-3.98343004947442E-2</c:v>
                </c:pt>
                <c:pt idx="426">
                  <c:v>-3.9576312551899744E-2</c:v>
                </c:pt>
                <c:pt idx="427">
                  <c:v>-3.9309402558690268E-2</c:v>
                </c:pt>
                <c:pt idx="428">
                  <c:v>-3.9033581994086741E-2</c:v>
                </c:pt>
                <c:pt idx="429">
                  <c:v>-3.8748862720276146E-2</c:v>
                </c:pt>
                <c:pt idx="430">
                  <c:v>-3.8455256982151402E-2</c:v>
                </c:pt>
                <c:pt idx="431">
                  <c:v>-3.8152777406784626E-2</c:v>
                </c:pt>
                <c:pt idx="432">
                  <c:v>-3.7841437002884198E-2</c:v>
                </c:pt>
                <c:pt idx="433">
                  <c:v>-3.7521249160235276E-2</c:v>
                </c:pt>
                <c:pt idx="434">
                  <c:v>-3.719222764912386E-2</c:v>
                </c:pt>
                <c:pt idx="435">
                  <c:v>-3.6854386619744668E-2</c:v>
                </c:pt>
                <c:pt idx="436">
                  <c:v>-3.6507740601592543E-2</c:v>
                </c:pt>
                <c:pt idx="437">
                  <c:v>-3.6152304502837587E-2</c:v>
                </c:pt>
                <c:pt idx="438">
                  <c:v>-3.5788093609683956E-2</c:v>
                </c:pt>
                <c:pt idx="439">
                  <c:v>-3.5415123585712575E-2</c:v>
                </c:pt>
                <c:pt idx="440">
                  <c:v>-3.5033410471207366E-2</c:v>
                </c:pt>
                <c:pt idx="441">
                  <c:v>-3.4642970682465482E-2</c:v>
                </c:pt>
                <c:pt idx="442">
                  <c:v>-3.4243821011091247E-2</c:v>
                </c:pt>
                <c:pt idx="443">
                  <c:v>-3.3835978623274039E-2</c:v>
                </c:pt>
                <c:pt idx="444">
                  <c:v>-3.3419461059050005E-2</c:v>
                </c:pt>
                <c:pt idx="445">
                  <c:v>-3.2994286231547737E-2</c:v>
                </c:pt>
                <c:pt idx="446">
                  <c:v>-3.2560472426217839E-2</c:v>
                </c:pt>
                <c:pt idx="447">
                  <c:v>-3.2118038300046566E-2</c:v>
                </c:pt>
                <c:pt idx="448">
                  <c:v>-3.1667002880753463E-2</c:v>
                </c:pt>
                <c:pt idx="449">
                  <c:v>-3.1207385565972984E-2</c:v>
                </c:pt>
                <c:pt idx="450">
                  <c:v>-3.0739206122420312E-2</c:v>
                </c:pt>
                <c:pt idx="451">
                  <c:v>-3.0262484685041214E-2</c:v>
                </c:pt>
                <c:pt idx="452">
                  <c:v>-2.9777241756146121E-2</c:v>
                </c:pt>
                <c:pt idx="453">
                  <c:v>-2.9283498204528399E-2</c:v>
                </c:pt>
                <c:pt idx="454">
                  <c:v>-2.8781275264566808E-2</c:v>
                </c:pt>
                <c:pt idx="455">
                  <c:v>-2.8270594535312325E-2</c:v>
                </c:pt>
                <c:pt idx="456">
                  <c:v>-2.7751477979559205E-2</c:v>
                </c:pt>
                <c:pt idx="457">
                  <c:v>-2.7223947922900428E-2</c:v>
                </c:pt>
                <c:pt idx="458">
                  <c:v>-2.6688027052767554E-2</c:v>
                </c:pt>
                <c:pt idx="459">
                  <c:v>-2.6143738417455018E-2</c:v>
                </c:pt>
                <c:pt idx="460">
                  <c:v>-2.5591105425128866E-2</c:v>
                </c:pt>
                <c:pt idx="461">
                  <c:v>-2.5030151842820075E-2</c:v>
                </c:pt>
                <c:pt idx="462">
                  <c:v>-2.446090179540238E-2</c:v>
                </c:pt>
                <c:pt idx="463">
                  <c:v>-2.3883379764554739E-2</c:v>
                </c:pt>
                <c:pt idx="464">
                  <c:v>-2.3297610587708489E-2</c:v>
                </c:pt>
                <c:pt idx="465">
                  <c:v>-2.2703619456979112E-2</c:v>
                </c:pt>
                <c:pt idx="466">
                  <c:v>-2.210143191808283E-2</c:v>
                </c:pt>
                <c:pt idx="467">
                  <c:v>-2.1491073869237976E-2</c:v>
                </c:pt>
                <c:pt idx="468">
                  <c:v>-2.0872571560051147E-2</c:v>
                </c:pt>
                <c:pt idx="469">
                  <c:v>-2.024595159038833E-2</c:v>
                </c:pt>
                <c:pt idx="470">
                  <c:v>-1.9611240909230925E-2</c:v>
                </c:pt>
                <c:pt idx="471">
                  <c:v>-1.8968466813516719E-2</c:v>
                </c:pt>
                <c:pt idx="472">
                  <c:v>-1.8317656946965966E-2</c:v>
                </c:pt>
                <c:pt idx="473">
                  <c:v>-1.7658839298892486E-2</c:v>
                </c:pt>
                <c:pt idx="474">
                  <c:v>-1.6992042202999956E-2</c:v>
                </c:pt>
                <c:pt idx="475">
                  <c:v>-1.6317294336163347E-2</c:v>
                </c:pt>
                <c:pt idx="476">
                  <c:v>-1.5634624717195636E-2</c:v>
                </c:pt>
                <c:pt idx="477">
                  <c:v>-1.4944062705599783E-2</c:v>
                </c:pt>
                <c:pt idx="478">
                  <c:v>-1.4245638000306081E-2</c:v>
                </c:pt>
                <c:pt idx="479">
                  <c:v>-1.3539380638394886E-2</c:v>
                </c:pt>
                <c:pt idx="480">
                  <c:v>-1.2825320993804831E-2</c:v>
                </c:pt>
                <c:pt idx="481">
                  <c:v>-1.2103489776026514E-2</c:v>
                </c:pt>
                <c:pt idx="482">
                  <c:v>-1.1373918028781805E-2</c:v>
                </c:pt>
                <c:pt idx="483">
                  <c:v>-1.0636637128688732E-2</c:v>
                </c:pt>
                <c:pt idx="484">
                  <c:v>-9.8916787839120821E-3</c:v>
                </c:pt>
                <c:pt idx="485">
                  <c:v>-9.1390750327997126E-3</c:v>
                </c:pt>
                <c:pt idx="486">
                  <c:v>-8.3788582425047119E-3</c:v>
                </c:pt>
                <c:pt idx="487">
                  <c:v>-7.6110611075933575E-3</c:v>
                </c:pt>
                <c:pt idx="488">
                  <c:v>-6.8357166486390465E-3</c:v>
                </c:pt>
                <c:pt idx="489">
                  <c:v>-6.0528582108021712E-3</c:v>
                </c:pt>
                <c:pt idx="490">
                  <c:v>-5.2625194623960522E-3</c:v>
                </c:pt>
                <c:pt idx="491">
                  <c:v>-4.4647343934389643E-3</c:v>
                </c:pt>
                <c:pt idx="492">
                  <c:v>-3.6595373141923354E-3</c:v>
                </c:pt>
                <c:pt idx="493">
                  <c:v>-2.846962853685167E-3</c:v>
                </c:pt>
                <c:pt idx="494">
                  <c:v>-2.0270459582247447E-3</c:v>
                </c:pt>
                <c:pt idx="495">
                  <c:v>-1.1998218898937128E-3</c:v>
                </c:pt>
                <c:pt idx="496">
                  <c:v>-3.6536464766227588E-4</c:v>
                </c:pt>
                <c:pt idx="497">
                  <c:v>4.7285888387419502E-4</c:v>
                </c:pt>
                <c:pt idx="498">
                  <c:v>1.3064140678118962E-3</c:v>
                </c:pt>
                <c:pt idx="499">
                  <c:v>2.1326986558847963E-3</c:v>
                </c:pt>
              </c:numCache>
            </c:numRef>
          </c:xVal>
          <c:yVal>
            <c:numRef>
              <c:f>wyniki!$E$2:$E$501</c:f>
              <c:numCache>
                <c:formatCode>General</c:formatCode>
                <c:ptCount val="500"/>
                <c:pt idx="0">
                  <c:v>-23027858.636475891</c:v>
                </c:pt>
                <c:pt idx="1">
                  <c:v>-23026411.182746321</c:v>
                </c:pt>
                <c:pt idx="2">
                  <c:v>-23023973.434489869</c:v>
                </c:pt>
                <c:pt idx="3">
                  <c:v>-23020545.496546518</c:v>
                </c:pt>
                <c:pt idx="4">
                  <c:v>-23016127.516341254</c:v>
                </c:pt>
                <c:pt idx="5">
                  <c:v>-23010719.683877695</c:v>
                </c:pt>
                <c:pt idx="6">
                  <c:v>-23004322.231729954</c:v>
                </c:pt>
                <c:pt idx="7">
                  <c:v>-22996935.435032595</c:v>
                </c:pt>
                <c:pt idx="8">
                  <c:v>-22988559.61146884</c:v>
                </c:pt>
                <c:pt idx="9">
                  <c:v>-22979195.12125688</c:v>
                </c:pt>
                <c:pt idx="10">
                  <c:v>-22968842.367134392</c:v>
                </c:pt>
                <c:pt idx="11">
                  <c:v>-22957501.794341229</c:v>
                </c:pt>
                <c:pt idx="12">
                  <c:v>-22945173.890600242</c:v>
                </c:pt>
                <c:pt idx="13">
                  <c:v>-22931859.18609634</c:v>
                </c:pt>
                <c:pt idx="14">
                  <c:v>-22917558.253453672</c:v>
                </c:pt>
                <c:pt idx="15">
                  <c:v>-22902271.707710989</c:v>
                </c:pt>
                <c:pt idx="16">
                  <c:v>-22886000.206295215</c:v>
                </c:pt>
                <c:pt idx="17">
                  <c:v>-22868744.448993158</c:v>
                </c:pt>
                <c:pt idx="18">
                  <c:v>-22850505.177921414</c:v>
                </c:pt>
                <c:pt idx="19">
                  <c:v>-22831283.17749447</c:v>
                </c:pt>
                <c:pt idx="20">
                  <c:v>-22811079.274390943</c:v>
                </c:pt>
                <c:pt idx="21">
                  <c:v>-22789894.33751804</c:v>
                </c:pt>
                <c:pt idx="22">
                  <c:v>-22767729.277974188</c:v>
                </c:pt>
                <c:pt idx="23">
                  <c:v>-22744585.049009856</c:v>
                </c:pt>
                <c:pt idx="24">
                  <c:v>-22720462.645986542</c:v>
                </c:pt>
                <c:pt idx="25">
                  <c:v>-22695363.106333986</c:v>
                </c:pt>
                <c:pt idx="26">
                  <c:v>-22669287.509505544</c:v>
                </c:pt>
                <c:pt idx="27">
                  <c:v>-22642236.976931754</c:v>
                </c:pt>
                <c:pt idx="28">
                  <c:v>-22614212.671972126</c:v>
                </c:pt>
                <c:pt idx="29">
                  <c:v>-22585215.799865101</c:v>
                </c:pt>
                <c:pt idx="30">
                  <c:v>-22555247.607676201</c:v>
                </c:pt>
                <c:pt idx="31">
                  <c:v>-22524309.384244435</c:v>
                </c:pt>
                <c:pt idx="32">
                  <c:v>-22492402.460126832</c:v>
                </c:pt>
                <c:pt idx="33">
                  <c:v>-22459528.207541235</c:v>
                </c:pt>
                <c:pt idx="34">
                  <c:v>-22425688.040307283</c:v>
                </c:pt>
                <c:pt idx="35">
                  <c:v>-22390883.413785618</c:v>
                </c:pt>
                <c:pt idx="36">
                  <c:v>-22355115.824815273</c:v>
                </c:pt>
                <c:pt idx="37">
                  <c:v>-22318386.811649315</c:v>
                </c:pt>
                <c:pt idx="38">
                  <c:v>-22280697.953888685</c:v>
                </c:pt>
                <c:pt idx="39">
                  <c:v>-22242050.872414257</c:v>
                </c:pt>
                <c:pt idx="40">
                  <c:v>-22202447.22931714</c:v>
                </c:pt>
                <c:pt idx="41">
                  <c:v>-22161888.727827188</c:v>
                </c:pt>
                <c:pt idx="42">
                  <c:v>-22120377.112239756</c:v>
                </c:pt>
                <c:pt idx="43">
                  <c:v>-22077914.167840682</c:v>
                </c:pt>
                <c:pt idx="44">
                  <c:v>-22034501.720829498</c:v>
                </c:pt>
                <c:pt idx="45">
                  <c:v>-21990141.638240907</c:v>
                </c:pt>
                <c:pt idx="46">
                  <c:v>-21944835.827864476</c:v>
                </c:pt>
                <c:pt idx="47">
                  <c:v>-21898586.238162588</c:v>
                </c:pt>
                <c:pt idx="48">
                  <c:v>-21851394.858186647</c:v>
                </c:pt>
                <c:pt idx="49">
                  <c:v>-21803263.717491541</c:v>
                </c:pt>
                <c:pt idx="50">
                  <c:v>-21754194.88604835</c:v>
                </c:pt>
                <c:pt idx="51">
                  <c:v>-21704190.474155325</c:v>
                </c:pt>
                <c:pt idx="52">
                  <c:v>-21653252.632347122</c:v>
                </c:pt>
                <c:pt idx="53">
                  <c:v>-21601383.55130234</c:v>
                </c:pt>
                <c:pt idx="54">
                  <c:v>-21548585.461749271</c:v>
                </c:pt>
                <c:pt idx="55">
                  <c:v>-21494860.634369992</c:v>
                </c:pt>
                <c:pt idx="56">
                  <c:v>-21440211.379702695</c:v>
                </c:pt>
                <c:pt idx="57">
                  <c:v>-21384640.048042327</c:v>
                </c:pt>
                <c:pt idx="58">
                  <c:v>-21328149.029339507</c:v>
                </c:pt>
                <c:pt idx="59">
                  <c:v>-21270740.753097735</c:v>
                </c:pt>
                <c:pt idx="60">
                  <c:v>-21212417.688268919</c:v>
                </c:pt>
                <c:pt idx="61">
                  <c:v>-21153182.343147177</c:v>
                </c:pt>
                <c:pt idx="62">
                  <c:v>-21093037.265260991</c:v>
                </c:pt>
                <c:pt idx="63">
                  <c:v>-21031985.041263606</c:v>
                </c:pt>
                <c:pt idx="64">
                  <c:v>-20970028.296821821</c:v>
                </c:pt>
                <c:pt idx="65">
                  <c:v>-20907169.696503058</c:v>
                </c:pt>
                <c:pt idx="66">
                  <c:v>-20843411.943660747</c:v>
                </c:pt>
                <c:pt idx="67">
                  <c:v>-20778757.780318093</c:v>
                </c:pt>
                <c:pt idx="68">
                  <c:v>-20713209.987050131</c:v>
                </c:pt>
                <c:pt idx="69">
                  <c:v>-20646771.382864151</c:v>
                </c:pt>
                <c:pt idx="70">
                  <c:v>-20579444.82507845</c:v>
                </c:pt>
                <c:pt idx="71">
                  <c:v>-20511233.209199466</c:v>
                </c:pt>
                <c:pt idx="72">
                  <c:v>-20442139.468797226</c:v>
                </c:pt>
                <c:pt idx="73">
                  <c:v>-20372166.575379211</c:v>
                </c:pt>
                <c:pt idx="74">
                  <c:v>-20301317.538262546</c:v>
                </c:pt>
                <c:pt idx="75">
                  <c:v>-20229595.404444564</c:v>
                </c:pt>
                <c:pt idx="76">
                  <c:v>-20157003.258471794</c:v>
                </c:pt>
                <c:pt idx="77">
                  <c:v>-20083544.222307283</c:v>
                </c:pt>
                <c:pt idx="78">
                  <c:v>-20009221.455196343</c:v>
                </c:pt>
                <c:pt idx="79">
                  <c:v>-19934038.153530661</c:v>
                </c:pt>
                <c:pt idx="80">
                  <c:v>-19857997.550710864</c:v>
                </c:pt>
                <c:pt idx="81">
                  <c:v>-19781102.917007428</c:v>
                </c:pt>
                <c:pt idx="82">
                  <c:v>-19703357.559420057</c:v>
                </c:pt>
                <c:pt idx="83">
                  <c:v>-19624764.821535449</c:v>
                </c:pt>
                <c:pt idx="84">
                  <c:v>-19545328.083383493</c:v>
                </c:pt>
                <c:pt idx="85">
                  <c:v>-19465050.761291929</c:v>
                </c:pt>
                <c:pt idx="86">
                  <c:v>-19383936.307739384</c:v>
                </c:pt>
                <c:pt idx="87">
                  <c:v>-19301988.211206928</c:v>
                </c:pt>
                <c:pt idx="88">
                  <c:v>-19219209.996028025</c:v>
                </c:pt>
                <c:pt idx="89">
                  <c:v>-19135605.222236961</c:v>
                </c:pt>
                <c:pt idx="90">
                  <c:v>-19051177.48541576</c:v>
                </c:pt>
                <c:pt idx="91">
                  <c:v>-18965930.41653952</c:v>
                </c:pt>
                <c:pt idx="92">
                  <c:v>-18879867.68182027</c:v>
                </c:pt>
                <c:pt idx="93">
                  <c:v>-18792992.982549302</c:v>
                </c:pt>
                <c:pt idx="94">
                  <c:v>-18705310.054937989</c:v>
                </c:pt>
                <c:pt idx="95">
                  <c:v>-18616822.669957086</c:v>
                </c:pt>
                <c:pt idx="96">
                  <c:v>-18527534.633174576</c:v>
                </c:pt>
                <c:pt idx="97">
                  <c:v>-18437449.78459198</c:v>
                </c:pt>
                <c:pt idx="98">
                  <c:v>-13536999.837940373</c:v>
                </c:pt>
                <c:pt idx="99">
                  <c:v>11841539.750774324</c:v>
                </c:pt>
                <c:pt idx="100">
                  <c:v>18431397.139587164</c:v>
                </c:pt>
                <c:pt idx="101">
                  <c:v>18521535.061748542</c:v>
                </c:pt>
                <c:pt idx="102">
                  <c:v>18610876.430132795</c:v>
                </c:pt>
                <c:pt idx="103">
                  <c:v>18699417.402444769</c:v>
                </c:pt>
                <c:pt idx="104">
                  <c:v>18787154.170811865</c:v>
                </c:pt>
                <c:pt idx="105">
                  <c:v>18874082.961947795</c:v>
                </c:pt>
                <c:pt idx="106">
                  <c:v>18960200.037314869</c:v>
                </c:pt>
                <c:pt idx="107">
                  <c:v>19045501.693284772</c:v>
                </c:pt>
                <c:pt idx="108">
                  <c:v>19129984.261297852</c:v>
                </c:pt>
                <c:pt idx="109">
                  <c:v>19213644.108020883</c:v>
                </c:pt>
                <c:pt idx="110">
                  <c:v>19296477.635503341</c:v>
                </c:pt>
                <c:pt idx="111">
                  <c:v>19378481.28133212</c:v>
                </c:pt>
                <c:pt idx="112">
                  <c:v>19459651.518784754</c:v>
                </c:pt>
                <c:pt idx="113">
                  <c:v>19539984.856981087</c:v>
                </c:pt>
                <c:pt idx="114">
                  <c:v>19619477.841033399</c:v>
                </c:pt>
                <c:pt idx="115">
                  <c:v>19698127.052195001</c:v>
                </c:pt>
                <c:pt idx="116">
                  <c:v>19775929.108007256</c:v>
                </c:pt>
                <c:pt idx="117">
                  <c:v>19852880.662445053</c:v>
                </c:pt>
                <c:pt idx="118">
                  <c:v>19928978.406060711</c:v>
                </c:pt>
                <c:pt idx="119">
                  <c:v>20004219.066126291</c:v>
                </c:pt>
                <c:pt idx="120">
                  <c:v>20078599.406774376</c:v>
                </c:pt>
                <c:pt idx="121">
                  <c:v>20152116.229137208</c:v>
                </c:pt>
                <c:pt idx="122">
                  <c:v>20224766.371484272</c:v>
                </c:pt>
                <c:pt idx="123">
                  <c:v>20296546.709358279</c:v>
                </c:pt>
                <c:pt idx="124">
                  <c:v>20367454.155709527</c:v>
                </c:pt>
                <c:pt idx="125">
                  <c:v>20437485.661028672</c:v>
                </c:pt>
                <c:pt idx="126">
                  <c:v>20506638.21347788</c:v>
                </c:pt>
                <c:pt idx="127">
                  <c:v>20574908.839020353</c:v>
                </c:pt>
                <c:pt idx="128">
                  <c:v>20642294.601548232</c:v>
                </c:pt>
                <c:pt idx="129">
                  <c:v>20708792.60300887</c:v>
                </c:pt>
                <c:pt idx="130">
                  <c:v>20774399.983529475</c:v>
                </c:pt>
                <c:pt idx="131">
                  <c:v>20839113.921540096</c:v>
                </c:pt>
                <c:pt idx="132">
                  <c:v>20902931.633894973</c:v>
                </c:pt>
                <c:pt idx="133">
                  <c:v>20965850.375992235</c:v>
                </c:pt>
                <c:pt idx="134">
                  <c:v>21027867.441891931</c:v>
                </c:pt>
                <c:pt idx="135">
                  <c:v>21088980.164432406</c:v>
                </c:pt>
                <c:pt idx="136">
                  <c:v>21149185.915345009</c:v>
                </c:pt>
                <c:pt idx="137">
                  <c:v>21208482.105367128</c:v>
                </c:pt>
                <c:pt idx="138">
                  <c:v>21266866.184353538</c:v>
                </c:pt>
                <c:pt idx="139">
                  <c:v>21324335.641386088</c:v>
                </c:pt>
                <c:pt idx="140">
                  <c:v>21380888.004881673</c:v>
                </c:pt>
                <c:pt idx="141">
                  <c:v>21436520.842698544</c:v>
                </c:pt>
                <c:pt idx="142">
                  <c:v>21491231.762240894</c:v>
                </c:pt>
                <c:pt idx="143">
                  <c:v>21545018.410561763</c:v>
                </c:pt>
                <c:pt idx="144">
                  <c:v>21597878.47446423</c:v>
                </c:pt>
                <c:pt idx="145">
                  <c:v>21649809.680600896</c:v>
                </c:pt>
                <c:pt idx="146">
                  <c:v>21700809.795571655</c:v>
                </c:pt>
                <c:pt idx="147">
                  <c:v>21750876.626019742</c:v>
                </c:pt>
                <c:pt idx="148">
                  <c:v>21800008.018726066</c:v>
                </c:pt>
                <c:pt idx="149">
                  <c:v>21848201.860701807</c:v>
                </c:pt>
                <c:pt idx="150">
                  <c:v>21895456.0792793</c:v>
                </c:pt>
                <c:pt idx="151">
                  <c:v>21941768.64220117</c:v>
                </c:pt>
                <c:pt idx="152">
                  <c:v>21987137.557707727</c:v>
                </c:pt>
                <c:pt idx="153">
                  <c:v>22031560.874622624</c:v>
                </c:pt>
                <c:pt idx="154">
                  <c:v>22075036.68243679</c:v>
                </c:pt>
                <c:pt idx="155">
                  <c:v>22117563.111390568</c:v>
                </c:pt>
                <c:pt idx="156">
                  <c:v>22159138.332554154</c:v>
                </c:pt>
                <c:pt idx="157">
                  <c:v>22199760.557906225</c:v>
                </c:pt>
                <c:pt idx="158">
                  <c:v>22239428.040410873</c:v>
                </c:pt>
                <c:pt idx="159">
                  <c:v>22278139.074092697</c:v>
                </c:pt>
                <c:pt idx="160">
                  <c:v>22315891.994110212</c:v>
                </c:pt>
                <c:pt idx="161">
                  <c:v>22352685.176827412</c:v>
                </c:pt>
                <c:pt idx="162">
                  <c:v>22388517.039883636</c:v>
                </c:pt>
                <c:pt idx="163">
                  <c:v>22423386.042261582</c:v>
                </c:pt>
                <c:pt idx="164">
                  <c:v>22457290.684353609</c:v>
                </c:pt>
                <c:pt idx="165">
                  <c:v>22490229.508026212</c:v>
                </c:pt>
                <c:pt idx="166">
                  <c:v>22522201.096682757</c:v>
                </c:pt>
                <c:pt idx="167">
                  <c:v>22553204.075324371</c:v>
                </c:pt>
                <c:pt idx="168">
                  <c:v>22583237.110609103</c:v>
                </c:pt>
                <c:pt idx="169">
                  <c:v>22612298.910909254</c:v>
                </c:pt>
                <c:pt idx="170">
                  <c:v>22640388.22636693</c:v>
                </c:pt>
                <c:pt idx="171">
                  <c:v>22667503.848947801</c:v>
                </c:pt>
                <c:pt idx="172">
                  <c:v>22693644.612493031</c:v>
                </c:pt>
                <c:pt idx="173">
                  <c:v>22718809.392769463</c:v>
                </c:pt>
                <c:pt idx="174">
                  <c:v>22742997.107517947</c:v>
                </c:pt>
                <c:pt idx="175">
                  <c:v>22766206.716499891</c:v>
                </c:pt>
                <c:pt idx="176">
                  <c:v>22788437.221541997</c:v>
                </c:pt>
                <c:pt idx="177">
                  <c:v>22809687.666579198</c:v>
                </c:pt>
                <c:pt idx="178">
                  <c:v>22829957.137695756</c:v>
                </c:pt>
                <c:pt idx="179">
                  <c:v>22849244.763164591</c:v>
                </c:pt>
                <c:pt idx="180">
                  <c:v>22867549.713484749</c:v>
                </c:pt>
                <c:pt idx="181">
                  <c:v>22884871.201417092</c:v>
                </c:pt>
                <c:pt idx="182">
                  <c:v>22901208.482018154</c:v>
                </c:pt>
                <c:pt idx="183">
                  <c:v>22916560.85267216</c:v>
                </c:pt>
                <c:pt idx="184">
                  <c:v>22930927.653121267</c:v>
                </c:pt>
                <c:pt idx="185">
                  <c:v>22944308.265493948</c:v>
                </c:pt>
                <c:pt idx="186">
                  <c:v>22956702.114331566</c:v>
                </c:pt>
                <c:pt idx="187">
                  <c:v>22968108.666613124</c:v>
                </c:pt>
                <c:pt idx="188">
                  <c:v>22978527.431778185</c:v>
                </c:pt>
                <c:pt idx="189">
                  <c:v>22987957.961747974</c:v>
                </c:pt>
                <c:pt idx="190">
                  <c:v>22996399.850944646</c:v>
                </c:pt>
                <c:pt idx="191">
                  <c:v>23003852.736308731</c:v>
                </c:pt>
                <c:pt idx="192">
                  <c:v>23010316.297314741</c:v>
                </c:pt>
                <c:pt idx="193">
                  <c:v>23015790.255984969</c:v>
                </c:pt>
                <c:pt idx="194">
                  <c:v>23020274.376901433</c:v>
                </c:pt>
                <c:pt idx="195">
                  <c:v>23023768.467215993</c:v>
                </c:pt>
                <c:pt idx="196">
                  <c:v>23026272.376658663</c:v>
                </c:pt>
                <c:pt idx="197">
                  <c:v>23027785.997544073</c:v>
                </c:pt>
                <c:pt idx="198">
                  <c:v>23028309.26477607</c:v>
                </c:pt>
                <c:pt idx="199">
                  <c:v>23027842.155850563</c:v>
                </c:pt>
                <c:pt idx="200">
                  <c:v>23026384.690856453</c:v>
                </c:pt>
                <c:pt idx="201">
                  <c:v>23023936.932474792</c:v>
                </c:pt>
                <c:pt idx="202">
                  <c:v>23020498.985976074</c:v>
                </c:pt>
                <c:pt idx="203">
                  <c:v>23016070.999215715</c:v>
                </c:pt>
                <c:pt idx="204">
                  <c:v>23010653.162627693</c:v>
                </c:pt>
                <c:pt idx="205">
                  <c:v>23004245.709216356</c:v>
                </c:pt>
                <c:pt idx="206">
                  <c:v>22996848.914546404</c:v>
                </c:pt>
                <c:pt idx="207">
                  <c:v>22988463.096731029</c:v>
                </c:pt>
                <c:pt idx="208">
                  <c:v>22979088.616418246</c:v>
                </c:pt>
                <c:pt idx="209">
                  <c:v>22968725.876775384</c:v>
                </c:pt>
                <c:pt idx="210">
                  <c:v>22957375.323471732</c:v>
                </c:pt>
                <c:pt idx="211">
                  <c:v>22945037.444659378</c:v>
                </c:pt>
                <c:pt idx="212">
                  <c:v>22931712.770952225</c:v>
                </c:pt>
                <c:pt idx="213">
                  <c:v>22917401.875403166</c:v>
                </c:pt>
                <c:pt idx="214">
                  <c:v>22902105.373479426</c:v>
                </c:pt>
                <c:pt idx="215">
                  <c:v>22885823.923036117</c:v>
                </c:pt>
                <c:pt idx="216">
                  <c:v>22868558.22428792</c:v>
                </c:pt>
                <c:pt idx="217">
                  <c:v>22850309.019778986</c:v>
                </c:pt>
                <c:pt idx="218">
                  <c:v>22831077.094351001</c:v>
                </c:pt>
                <c:pt idx="219">
                  <c:v>22810863.275109429</c:v>
                </c:pt>
                <c:pt idx="220">
                  <c:v>22789668.431387939</c:v>
                </c:pt>
                <c:pt idx="221">
                  <c:v>22767493.474711023</c:v>
                </c:pt>
                <c:pt idx="222">
                  <c:v>22744339.358754795</c:v>
                </c:pt>
                <c:pt idx="223">
                  <c:v>22720207.079305962</c:v>
                </c:pt>
                <c:pt idx="224">
                  <c:v>22695097.67421902</c:v>
                </c:pt>
                <c:pt idx="225">
                  <c:v>22669012.223371603</c:v>
                </c:pt>
                <c:pt idx="226">
                  <c:v>22641951.848618038</c:v>
                </c:pt>
                <c:pt idx="227">
                  <c:v>22613917.713741124</c:v>
                </c:pt>
                <c:pt idx="228">
                  <c:v>22584911.024402045</c:v>
                </c:pt>
                <c:pt idx="229">
                  <c:v>22554933.028088544</c:v>
                </c:pt>
                <c:pt idx="230">
                  <c:v>22523985.014061265</c:v>
                </c:pt>
                <c:pt idx="231">
                  <c:v>22492068.313298307</c:v>
                </c:pt>
                <c:pt idx="232">
                  <c:v>22459184.298437975</c:v>
                </c:pt>
                <c:pt idx="233">
                  <c:v>22425334.383719753</c:v>
                </c:pt>
                <c:pt idx="234">
                  <c:v>22390520.024923488</c:v>
                </c:pt>
                <c:pt idx="235">
                  <c:v>22354742.719306771</c:v>
                </c:pt>
                <c:pt idx="236">
                  <c:v>22318004.00554055</c:v>
                </c:pt>
                <c:pt idx="237">
                  <c:v>22280305.463642962</c:v>
                </c:pt>
                <c:pt idx="238">
                  <c:v>22241648.714911364</c:v>
                </c:pt>
                <c:pt idx="239">
                  <c:v>22202035.421852622</c:v>
                </c:pt>
                <c:pt idx="240">
                  <c:v>22161467.288111608</c:v>
                </c:pt>
                <c:pt idx="241">
                  <c:v>22119946.058397934</c:v>
                </c:pt>
                <c:pt idx="242">
                  <c:v>22077473.518410902</c:v>
                </c:pt>
                <c:pt idx="243">
                  <c:v>22034051.49476273</c:v>
                </c:pt>
                <c:pt idx="244">
                  <c:v>21989681.854899976</c:v>
                </c:pt>
                <c:pt idx="245">
                  <c:v>21944366.507023234</c:v>
                </c:pt>
                <c:pt idx="246">
                  <c:v>21898107.400005069</c:v>
                </c:pt>
                <c:pt idx="247">
                  <c:v>21850906.523306198</c:v>
                </c:pt>
                <c:pt idx="248">
                  <c:v>21802765.90688993</c:v>
                </c:pt>
                <c:pt idx="249">
                  <c:v>21753687.621134866</c:v>
                </c:pt>
                <c:pt idx="250">
                  <c:v>21703673.776745856</c:v>
                </c:pt>
                <c:pt idx="251">
                  <c:v>21652726.524663225</c:v>
                </c:pt>
                <c:pt idx="252">
                  <c:v>21600848.05597027</c:v>
                </c:pt>
                <c:pt idx="253">
                  <c:v>21548040.601799026</c:v>
                </c:pt>
                <c:pt idx="254">
                  <c:v>21494306.433234304</c:v>
                </c:pt>
                <c:pt idx="255">
                  <c:v>21439647.861216042</c:v>
                </c:pt>
                <c:pt idx="256">
                  <c:v>21384067.236439891</c:v>
                </c:pt>
                <c:pt idx="257">
                  <c:v>21327566.949256137</c:v>
                </c:pt>
                <c:pt idx="258">
                  <c:v>21270149.429566886</c:v>
                </c:pt>
                <c:pt idx="259">
                  <c:v>21211817.146721583</c:v>
                </c:pt>
                <c:pt idx="260">
                  <c:v>21152572.609410789</c:v>
                </c:pt>
                <c:pt idx="261">
                  <c:v>21092418.3655583</c:v>
                </c:pt>
                <c:pt idx="262">
                  <c:v>21031357.002211571</c:v>
                </c:pt>
                <c:pt idx="263">
                  <c:v>20969391.145430461</c:v>
                </c:pt>
                <c:pt idx="264">
                  <c:v>20906523.46017427</c:v>
                </c:pt>
                <c:pt idx="265">
                  <c:v>20842756.650187153</c:v>
                </c:pt>
                <c:pt idx="266">
                  <c:v>20778093.457881834</c:v>
                </c:pt>
                <c:pt idx="267">
                  <c:v>20712536.664221656</c:v>
                </c:pt>
                <c:pt idx="268">
                  <c:v>20646089.088600982</c:v>
                </c:pt>
                <c:pt idx="269">
                  <c:v>20578753.58872395</c:v>
                </c:pt>
                <c:pt idx="270">
                  <c:v>20510533.060481563</c:v>
                </c:pt>
                <c:pt idx="271">
                  <c:v>20441430.437827151</c:v>
                </c:pt>
                <c:pt idx="272">
                  <c:v>20371448.692650184</c:v>
                </c:pt>
                <c:pt idx="273">
                  <c:v>20300590.834648475</c:v>
                </c:pt>
                <c:pt idx="274">
                  <c:v>20228859.91119872</c:v>
                </c:pt>
                <c:pt idx="275">
                  <c:v>20156259.007225461</c:v>
                </c:pt>
                <c:pt idx="276">
                  <c:v>20082791.245068397</c:v>
                </c:pt>
                <c:pt idx="277">
                  <c:v>20008459.784348119</c:v>
                </c:pt>
                <c:pt idx="278">
                  <c:v>19933267.821830202</c:v>
                </c:pt>
                <c:pt idx="279">
                  <c:v>19857218.591287747</c:v>
                </c:pt>
                <c:pt idx="280">
                  <c:v>19780315.363362279</c:v>
                </c:pt>
                <c:pt idx="281">
                  <c:v>19702561.445423119</c:v>
                </c:pt>
                <c:pt idx="282">
                  <c:v>19623960.181425113</c:v>
                </c:pt>
                <c:pt idx="283">
                  <c:v>19544514.951764837</c:v>
                </c:pt>
                <c:pt idx="284">
                  <c:v>19464229.173135217</c:v>
                </c:pt>
                <c:pt idx="285">
                  <c:v>19383106.298378579</c:v>
                </c:pt>
                <c:pt idx="286">
                  <c:v>19301149.816338159</c:v>
                </c:pt>
                <c:pt idx="287">
                  <c:v>19218363.251708049</c:v>
                </c:pt>
                <c:pt idx="288">
                  <c:v>19134750.164881635</c:v>
                </c:pt>
                <c:pt idx="289">
                  <c:v>19050314.151798442</c:v>
                </c:pt>
                <c:pt idx="290">
                  <c:v>18965058.84378951</c:v>
                </c:pt>
                <c:pt idx="291">
                  <c:v>18878987.907421213</c:v>
                </c:pt>
                <c:pt idx="292">
                  <c:v>18792105.044337567</c:v>
                </c:pt>
                <c:pt idx="293">
                  <c:v>18704413.991101038</c:v>
                </c:pt>
                <c:pt idx="294">
                  <c:v>18615918.519031849</c:v>
                </c:pt>
                <c:pt idx="295">
                  <c:v>18526622.43404578</c:v>
                </c:pt>
                <c:pt idx="296">
                  <c:v>18436529.576490484</c:v>
                </c:pt>
                <c:pt idx="297">
                  <c:v>13279227.173395772</c:v>
                </c:pt>
                <c:pt idx="298">
                  <c:v>-12099389.514522474</c:v>
                </c:pt>
                <c:pt idx="299">
                  <c:v>-18432317.526366785</c:v>
                </c:pt>
                <c:pt idx="300">
                  <c:v>-18522447.144770764</c:v>
                </c:pt>
                <c:pt idx="301">
                  <c:v>-18611780.17017176</c:v>
                </c:pt>
                <c:pt idx="302">
                  <c:v>-18700312.760633424</c:v>
                </c:pt>
                <c:pt idx="303">
                  <c:v>-18788041.108643625</c:v>
                </c:pt>
                <c:pt idx="304">
                  <c:v>-18874961.441278215</c:v>
                </c:pt>
                <c:pt idx="305">
                  <c:v>-18961070.020363282</c:v>
                </c:pt>
                <c:pt idx="306">
                  <c:v>-19046363.142635901</c:v>
                </c:pt>
                <c:pt idx="307">
                  <c:v>-19130837.139903434</c:v>
                </c:pt>
                <c:pt idx="308">
                  <c:v>-19214488.379201256</c:v>
                </c:pt>
                <c:pt idx="309">
                  <c:v>-19297313.26294902</c:v>
                </c:pt>
                <c:pt idx="310">
                  <c:v>-19379308.229105361</c:v>
                </c:pt>
                <c:pt idx="311">
                  <c:v>-19460469.751321096</c:v>
                </c:pt>
                <c:pt idx="312">
                  <c:v>-19540794.339090884</c:v>
                </c:pt>
                <c:pt idx="313">
                  <c:v>-19620278.537903339</c:v>
                </c:pt>
                <c:pt idx="314">
                  <c:v>-19698918.929389596</c:v>
                </c:pt>
                <c:pt idx="315">
                  <c:v>-19776712.131470323</c:v>
                </c:pt>
                <c:pt idx="316">
                  <c:v>-19853654.798501182</c:v>
                </c:pt>
                <c:pt idx="317">
                  <c:v>-19929743.62141671</c:v>
                </c:pt>
                <c:pt idx="318">
                  <c:v>-20004975.327872623</c:v>
                </c:pt>
                <c:pt idx="319">
                  <c:v>-20079346.682386566</c:v>
                </c:pt>
                <c:pt idx="320">
                  <c:v>-20152854.486477252</c:v>
                </c:pt>
                <c:pt idx="321">
                  <c:v>-20225495.578802008</c:v>
                </c:pt>
                <c:pt idx="322">
                  <c:v>-20297266.835292764</c:v>
                </c:pt>
                <c:pt idx="323">
                  <c:v>-20368165.169290379</c:v>
                </c:pt>
                <c:pt idx="324">
                  <c:v>-20438187.531677406</c:v>
                </c:pt>
                <c:pt idx="325">
                  <c:v>-20507330.911009211</c:v>
                </c:pt>
                <c:pt idx="326">
                  <c:v>-20575592.333643511</c:v>
                </c:pt>
                <c:pt idx="327">
                  <c:v>-20642968.863868229</c:v>
                </c:pt>
                <c:pt idx="328">
                  <c:v>-20709457.604027778</c:v>
                </c:pt>
                <c:pt idx="329">
                  <c:v>-20775055.694647662</c:v>
                </c:pt>
                <c:pt idx="330">
                  <c:v>-20839760.314557463</c:v>
                </c:pt>
                <c:pt idx="331">
                  <c:v>-20903568.681012161</c:v>
                </c:pt>
                <c:pt idx="332">
                  <c:v>-20966478.049811818</c:v>
                </c:pt>
                <c:pt idx="333">
                  <c:v>-21028485.715419609</c:v>
                </c:pt>
                <c:pt idx="334">
                  <c:v>-21089589.011078153</c:v>
                </c:pt>
                <c:pt idx="335">
                  <c:v>-21149785.308924217</c:v>
                </c:pt>
                <c:pt idx="336">
                  <c:v>-21209072.020101737</c:v>
                </c:pt>
                <c:pt idx="337">
                  <c:v>-21267446.594873149</c:v>
                </c:pt>
                <c:pt idx="338">
                  <c:v>-21324906.522729043</c:v>
                </c:pt>
                <c:pt idx="339">
                  <c:v>-21381449.332496136</c:v>
                </c:pt>
                <c:pt idx="340">
                  <c:v>-21437072.592443556</c:v>
                </c:pt>
                <c:pt idx="341">
                  <c:v>-21491773.910387408</c:v>
                </c:pt>
                <c:pt idx="342">
                  <c:v>-21545550.933793668</c:v>
                </c:pt>
                <c:pt idx="343">
                  <c:v>-21598401.349879354</c:v>
                </c:pt>
                <c:pt idx="344">
                  <c:v>-21650322.88571199</c:v>
                </c:pt>
                <c:pt idx="345">
                  <c:v>-21701313.308307361</c:v>
                </c:pt>
                <c:pt idx="346">
                  <c:v>-21751370.424725533</c:v>
                </c:pt>
                <c:pt idx="347">
                  <c:v>-21800492.082165197</c:v>
                </c:pt>
                <c:pt idx="348">
                  <c:v>-21848676.168056205</c:v>
                </c:pt>
                <c:pt idx="349">
                  <c:v>-21895920.610150486</c:v>
                </c:pt>
                <c:pt idx="350">
                  <c:v>-21942223.376611106</c:v>
                </c:pt>
                <c:pt idx="351">
                  <c:v>-21987582.476099692</c:v>
                </c:pt>
                <c:pt idx="352">
                  <c:v>-22031995.957862064</c:v>
                </c:pt>
                <c:pt idx="353">
                  <c:v>-22075461.911812123</c:v>
                </c:pt>
                <c:pt idx="354">
                  <c:v>-22117978.468613997</c:v>
                </c:pt>
                <c:pt idx="355">
                  <c:v>-22159543.799762454</c:v>
                </c:pt>
                <c:pt idx="356">
                  <c:v>-22200156.117661513</c:v>
                </c:pt>
                <c:pt idx="357">
                  <c:v>-22239813.675701343</c:v>
                </c:pt>
                <c:pt idx="358">
                  <c:v>-22278514.768333379</c:v>
                </c:pt>
                <c:pt idx="359">
                  <c:v>-22316257.731143657</c:v>
                </c:pt>
                <c:pt idx="360">
                  <c:v>-22353040.94092441</c:v>
                </c:pt>
                <c:pt idx="361">
                  <c:v>-22388862.815743867</c:v>
                </c:pt>
                <c:pt idx="362">
                  <c:v>-22423721.815014303</c:v>
                </c:pt>
                <c:pt idx="363">
                  <c:v>-22457616.439558275</c:v>
                </c:pt>
                <c:pt idx="364">
                  <c:v>-22490545.231673107</c:v>
                </c:pt>
                <c:pt idx="365">
                  <c:v>-22522506.775193579</c:v>
                </c:pt>
                <c:pt idx="366">
                  <c:v>-22553499.695552841</c:v>
                </c:pt>
                <c:pt idx="367">
                  <c:v>-22583522.659841508</c:v>
                </c:pt>
                <c:pt idx="368">
                  <c:v>-22612574.376865011</c:v>
                </c:pt>
                <c:pt idx="369">
                  <c:v>-22640653.597199105</c:v>
                </c:pt>
                <c:pt idx="370">
                  <c:v>-22667759.11324361</c:v>
                </c:pt>
                <c:pt idx="371">
                  <c:v>-22693889.759274349</c:v>
                </c:pt>
                <c:pt idx="372">
                  <c:v>-22719044.41149329</c:v>
                </c:pt>
                <c:pt idx="373">
                  <c:v>-22743221.988076858</c:v>
                </c:pt>
                <c:pt idx="374">
                  <c:v>-22766421.449222464</c:v>
                </c:pt>
                <c:pt idx="375">
                  <c:v>-22788641.797193252</c:v>
                </c:pt>
                <c:pt idx="376">
                  <c:v>-22809882.076360963</c:v>
                </c:pt>
                <c:pt idx="377">
                  <c:v>-22830141.373247076</c:v>
                </c:pt>
                <c:pt idx="378">
                  <c:v>-22849418.816562064</c:v>
                </c:pt>
                <c:pt idx="379">
                  <c:v>-22867713.577242877</c:v>
                </c:pt>
                <c:pt idx="380">
                  <c:v>-22885024.868488606</c:v>
                </c:pt>
                <c:pt idx="381">
                  <c:v>-22901351.945794307</c:v>
                </c:pt>
                <c:pt idx="382">
                  <c:v>-22916694.106983021</c:v>
                </c:pt>
                <c:pt idx="383">
                  <c:v>-22931050.692235984</c:v>
                </c:pt>
                <c:pt idx="384">
                  <c:v>-22944421.084120989</c:v>
                </c:pt>
                <c:pt idx="385">
                  <c:v>-22956804.707618948</c:v>
                </c:pt>
                <c:pt idx="386">
                  <c:v>-22968201.030148629</c:v>
                </c:pt>
                <c:pt idx="387">
                  <c:v>-22978609.561589547</c:v>
                </c:pt>
                <c:pt idx="388">
                  <c:v>-22988029.85430304</c:v>
                </c:pt>
                <c:pt idx="389">
                  <c:v>-22996461.503151543</c:v>
                </c:pt>
                <c:pt idx="390">
                  <c:v>-23003904.145515986</c:v>
                </c:pt>
                <c:pt idx="391">
                  <c:v>-23010357.461311407</c:v>
                </c:pt>
                <c:pt idx="392">
                  <c:v>-23015821.173000716</c:v>
                </c:pt>
                <c:pt idx="393">
                  <c:v>-23020295.045606602</c:v>
                </c:pt>
                <c:pt idx="394">
                  <c:v>-23023778.886721697</c:v>
                </c:pt>
                <c:pt idx="395">
                  <c:v>-23026272.546516791</c:v>
                </c:pt>
                <c:pt idx="396">
                  <c:v>-23027775.917747315</c:v>
                </c:pt>
                <c:pt idx="397">
                  <c:v>-23028288.935757928</c:v>
                </c:pt>
                <c:pt idx="398">
                  <c:v>-23027811.578485329</c:v>
                </c:pt>
                <c:pt idx="399">
                  <c:v>-23026343.866459161</c:v>
                </c:pt>
                <c:pt idx="400">
                  <c:v>-23023885.862801176</c:v>
                </c:pt>
                <c:pt idx="401">
                  <c:v>-23020437.673222478</c:v>
                </c:pt>
                <c:pt idx="402">
                  <c:v>-23015999.446019012</c:v>
                </c:pt>
                <c:pt idx="403">
                  <c:v>-23010571.372065164</c:v>
                </c:pt>
                <c:pt idx="404">
                  <c:v>-23004153.684805561</c:v>
                </c:pt>
                <c:pt idx="405">
                  <c:v>-22996746.660245024</c:v>
                </c:pt>
                <c:pt idx="406">
                  <c:v>-22988350.616936706</c:v>
                </c:pt>
                <c:pt idx="407">
                  <c:v>-22978965.915968388</c:v>
                </c:pt>
                <c:pt idx="408">
                  <c:v>-22968592.960946959</c:v>
                </c:pt>
                <c:pt idx="409">
                  <c:v>-22957232.19798103</c:v>
                </c:pt>
                <c:pt idx="410">
                  <c:v>-22944884.115661789</c:v>
                </c:pt>
                <c:pt idx="411">
                  <c:v>-22931549.245041955</c:v>
                </c:pt>
                <c:pt idx="412">
                  <c:v>-22917228.159612954</c:v>
                </c:pt>
                <c:pt idx="413">
                  <c:v>-22901921.475280251</c:v>
                </c:pt>
                <c:pt idx="414">
                  <c:v>-22885629.850336865</c:v>
                </c:pt>
                <c:pt idx="415">
                  <c:v>-22868353.985435061</c:v>
                </c:pt>
                <c:pt idx="416">
                  <c:v>-22850094.623556197</c:v>
                </c:pt>
                <c:pt idx="417">
                  <c:v>-22830852.5499788</c:v>
                </c:pt>
                <c:pt idx="418">
                  <c:v>-22810628.592244774</c:v>
                </c:pt>
                <c:pt idx="419">
                  <c:v>-22789423.620123811</c:v>
                </c:pt>
                <c:pt idx="420">
                  <c:v>-22767238.545575999</c:v>
                </c:pt>
                <c:pt idx="421">
                  <c:v>-22744074.322712578</c:v>
                </c:pt>
                <c:pt idx="422">
                  <c:v>-22719931.947754938</c:v>
                </c:pt>
                <c:pt idx="423">
                  <c:v>-22694812.45899174</c:v>
                </c:pt>
                <c:pt idx="424">
                  <c:v>-22668716.936734285</c:v>
                </c:pt>
                <c:pt idx="425">
                  <c:v>-22641646.503270052</c:v>
                </c:pt>
                <c:pt idx="426">
                  <c:v>-22613602.32281442</c:v>
                </c:pt>
                <c:pt idx="427">
                  <c:v>-22584585.601460613</c:v>
                </c:pt>
                <c:pt idx="428">
                  <c:v>-22554597.587127816</c:v>
                </c:pt>
                <c:pt idx="429">
                  <c:v>-22523639.569507517</c:v>
                </c:pt>
                <c:pt idx="430">
                  <c:v>-22491712.880008034</c:v>
                </c:pt>
                <c:pt idx="431">
                  <c:v>-22458818.891697261</c:v>
                </c:pt>
                <c:pt idx="432">
                  <c:v>-22424959.019243605</c:v>
                </c:pt>
                <c:pt idx="433">
                  <c:v>-22390134.718855172</c:v>
                </c:pt>
                <c:pt idx="434">
                  <c:v>-22354347.488217108</c:v>
                </c:pt>
                <c:pt idx="435">
                  <c:v>-22317598.866427206</c:v>
                </c:pt>
                <c:pt idx="436">
                  <c:v>-22279890.433929704</c:v>
                </c:pt>
                <c:pt idx="437">
                  <c:v>-22241223.812447339</c:v>
                </c:pt>
                <c:pt idx="438">
                  <c:v>-22201600.664911568</c:v>
                </c:pt>
                <c:pt idx="439">
                  <c:v>-22161022.695391074</c:v>
                </c:pt>
                <c:pt idx="440">
                  <c:v>-22119491.64901847</c:v>
                </c:pt>
                <c:pt idx="441">
                  <c:v>-22077009.311915249</c:v>
                </c:pt>
                <c:pt idx="442">
                  <c:v>-22033577.511114966</c:v>
                </c:pt>
                <c:pt idx="443">
                  <c:v>-21989198.114484668</c:v>
                </c:pt>
                <c:pt idx="444">
                  <c:v>-21943873.030644558</c:v>
                </c:pt>
                <c:pt idx="445">
                  <c:v>-21897604.208885916</c:v>
                </c:pt>
                <c:pt idx="446">
                  <c:v>-21850393.639087252</c:v>
                </c:pt>
                <c:pt idx="447">
                  <c:v>-21802243.351628754</c:v>
                </c:pt>
                <c:pt idx="448">
                  <c:v>-21753155.417304937</c:v>
                </c:pt>
                <c:pt idx="449">
                  <c:v>-21703131.947235614</c:v>
                </c:pt>
                <c:pt idx="450">
                  <c:v>-21652175.092775077</c:v>
                </c:pt>
                <c:pt idx="451">
                  <c:v>-21600287.045419589</c:v>
                </c:pt>
                <c:pt idx="452">
                  <c:v>-21547470.036713138</c:v>
                </c:pt>
                <c:pt idx="453">
                  <c:v>-21493726.338151444</c:v>
                </c:pt>
                <c:pt idx="454">
                  <c:v>-21439058.2610843</c:v>
                </c:pt>
                <c:pt idx="455">
                  <c:v>-21383468.156616136</c:v>
                </c:pt>
                <c:pt idx="456">
                  <c:v>-21326958.415504936</c:v>
                </c:pt>
                <c:pt idx="457">
                  <c:v>-21269531.468059391</c:v>
                </c:pt>
                <c:pt idx="458">
                  <c:v>-21211189.784034401</c:v>
                </c:pt>
                <c:pt idx="459">
                  <c:v>-21151935.872524843</c:v>
                </c:pt>
                <c:pt idx="460">
                  <c:v>-21091772.281857666</c:v>
                </c:pt>
                <c:pt idx="461">
                  <c:v>-21030701.599482313</c:v>
                </c:pt>
                <c:pt idx="462">
                  <c:v>-20968726.451859407</c:v>
                </c:pt>
                <c:pt idx="463">
                  <c:v>-20905849.504347835</c:v>
                </c:pt>
                <c:pt idx="464">
                  <c:v>-20842073.461090088</c:v>
                </c:pt>
                <c:pt idx="465">
                  <c:v>-20777401.06489598</c:v>
                </c:pt>
                <c:pt idx="466">
                  <c:v>-20711835.097124685</c:v>
                </c:pt>
                <c:pt idx="467">
                  <c:v>-20645378.377565123</c:v>
                </c:pt>
                <c:pt idx="468">
                  <c:v>-20578033.764314681</c:v>
                </c:pt>
                <c:pt idx="469">
                  <c:v>-20509804.1536563</c:v>
                </c:pt>
                <c:pt idx="470">
                  <c:v>-20440692.47993391</c:v>
                </c:pt>
                <c:pt idx="471">
                  <c:v>-20370701.715426251</c:v>
                </c:pt>
                <c:pt idx="472">
                  <c:v>-20299834.870219018</c:v>
                </c:pt>
                <c:pt idx="473">
                  <c:v>-20228094.992075428</c:v>
                </c:pt>
                <c:pt idx="474">
                  <c:v>-20155485.166305132</c:v>
                </c:pt>
                <c:pt idx="475">
                  <c:v>-20082008.515631534</c:v>
                </c:pt>
                <c:pt idx="476">
                  <c:v>-20007668.20005748</c:v>
                </c:pt>
                <c:pt idx="477">
                  <c:v>-19932467.416729376</c:v>
                </c:pt>
                <c:pt idx="478">
                  <c:v>-19856409.399799675</c:v>
                </c:pt>
                <c:pt idx="479">
                  <c:v>-19779497.420287777</c:v>
                </c:pt>
                <c:pt idx="480">
                  <c:v>-19701734.785939381</c:v>
                </c:pt>
                <c:pt idx="481">
                  <c:v>-19623124.841084197</c:v>
                </c:pt>
                <c:pt idx="482">
                  <c:v>-19543670.966492146</c:v>
                </c:pt>
                <c:pt idx="483">
                  <c:v>-19463376.579227936</c:v>
                </c:pt>
                <c:pt idx="484">
                  <c:v>-19382245.132504128</c:v>
                </c:pt>
                <c:pt idx="485">
                  <c:v>-19300280.115532607</c:v>
                </c:pt>
                <c:pt idx="486">
                  <c:v>-19217485.05337454</c:v>
                </c:pt>
                <c:pt idx="487">
                  <c:v>-19133863.506788746</c:v>
                </c:pt>
                <c:pt idx="488">
                  <c:v>-19049419.072078593</c:v>
                </c:pt>
                <c:pt idx="489">
                  <c:v>-18964155.380937301</c:v>
                </c:pt>
                <c:pt idx="490">
                  <c:v>-18878076.100291781</c:v>
                </c:pt>
                <c:pt idx="491">
                  <c:v>-18791184.932144906</c:v>
                </c:pt>
                <c:pt idx="492">
                  <c:v>-18703485.613416325</c:v>
                </c:pt>
                <c:pt idx="493">
                  <c:v>-18614981.915781725</c:v>
                </c:pt>
                <c:pt idx="494">
                  <c:v>-18525677.645510644</c:v>
                </c:pt>
                <c:pt idx="495">
                  <c:v>-18435576.643302761</c:v>
                </c:pt>
                <c:pt idx="496">
                  <c:v>-13012328.836849658</c:v>
                </c:pt>
                <c:pt idx="497">
                  <c:v>12366326.67973672</c:v>
                </c:pt>
                <c:pt idx="498">
                  <c:v>18433270.202549662</c:v>
                </c:pt>
                <c:pt idx="499">
                  <c:v>18523391.076768398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6D-4B01-B74F-05FCB4660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925696"/>
        <c:axId val="396926256"/>
      </c:scatterChart>
      <c:valAx>
        <c:axId val="39692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6926256"/>
        <c:crosses val="autoZero"/>
        <c:crossBetween val="midCat"/>
      </c:valAx>
      <c:valAx>
        <c:axId val="39692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6925696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Wykres1"/>
  <sheetViews>
    <sheetView zoomScale="6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Wykres2"/>
  <sheetViews>
    <sheetView zoomScale="6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Wykres3"/>
  <sheetViews>
    <sheetView zoomScale="6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Wykres4"/>
  <sheetViews>
    <sheetView tabSelected="1" zoomScale="8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7935" cy="6087717"/>
    <xdr:graphicFrame macro="">
      <xdr:nvGraphicFramePr>
        <xdr:cNvPr id="2" name="Wykres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7935" cy="6087717"/>
    <xdr:graphicFrame macro="">
      <xdr:nvGraphicFramePr>
        <xdr:cNvPr id="2" name="Wykres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7935" cy="6087717"/>
    <xdr:graphicFrame macro="">
      <xdr:nvGraphicFramePr>
        <xdr:cNvPr id="2" name="Wykres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Wykres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685800</xdr:colOff>
      <xdr:row>24</xdr:row>
      <xdr:rowOff>171450</xdr:rowOff>
    </xdr:from>
    <xdr:to>
      <xdr:col>1</xdr:col>
      <xdr:colOff>876300</xdr:colOff>
      <xdr:row>29</xdr:row>
      <xdr:rowOff>0</xdr:rowOff>
    </xdr:to>
    <xdr:sp macro="[0]!Hamulec" textlink="">
      <xdr:nvSpPr>
        <xdr:cNvPr id="2" name="Prostokąt 1"/>
        <xdr:cNvSpPr/>
      </xdr:nvSpPr>
      <xdr:spPr>
        <a:xfrm>
          <a:off x="685800" y="4743450"/>
          <a:ext cx="1619250" cy="781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  <a:p>
          <a:pPr algn="l"/>
          <a:r>
            <a:rPr lang="pl-PL" sz="1100" baseline="0"/>
            <a:t>                 </a:t>
          </a:r>
          <a:r>
            <a:rPr lang="pl-PL" sz="1100"/>
            <a:t>START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381001</xdr:colOff>
      <xdr:row>5</xdr:row>
      <xdr:rowOff>66676</xdr:rowOff>
    </xdr:from>
    <xdr:to>
      <xdr:col>11</xdr:col>
      <xdr:colOff>590551</xdr:colOff>
      <xdr:row>12</xdr:row>
      <xdr:rowOff>180976</xdr:rowOff>
    </xdr:to>
    <xdr:sp macro="[0]!_xludf.Clear" textlink="">
      <xdr:nvSpPr>
        <xdr:cNvPr id="3" name="Dwunastokąt 2"/>
        <xdr:cNvSpPr/>
      </xdr:nvSpPr>
      <xdr:spPr>
        <a:xfrm>
          <a:off x="8324851" y="1019176"/>
          <a:ext cx="1428750" cy="1447800"/>
        </a:xfrm>
        <a:prstGeom prst="dodec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/>
          </a:r>
          <a:b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/>
          </a:r>
          <a:b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pl-PL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 </a:t>
          </a:r>
          <a:r>
            <a:rPr lang="pl-PL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USUN DANE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S38"/>
  <sheetViews>
    <sheetView topLeftCell="A10" zoomScaleNormal="100" workbookViewId="0">
      <selection activeCell="D22" sqref="D22"/>
    </sheetView>
  </sheetViews>
  <sheetFormatPr defaultRowHeight="15"/>
  <cols>
    <col min="1" max="1" width="21.42578125" customWidth="1"/>
    <col min="2" max="2" width="16.28515625" customWidth="1"/>
    <col min="3" max="3" width="20.140625" customWidth="1"/>
    <col min="4" max="4" width="22.85546875" customWidth="1"/>
    <col min="5" max="5" width="17.85546875" customWidth="1"/>
    <col min="6" max="6" width="15" customWidth="1"/>
    <col min="7" max="7" width="16.42578125" customWidth="1"/>
    <col min="8" max="8" width="12.85546875" bestFit="1" customWidth="1"/>
    <col min="9" max="9" width="30.28515625" customWidth="1"/>
    <col min="10" max="10" width="22.140625" customWidth="1"/>
    <col min="11" max="11" width="17.140625" customWidth="1"/>
    <col min="12" max="12" width="12.5703125" customWidth="1"/>
    <col min="14" max="14" width="17.28515625" bestFit="1" customWidth="1"/>
    <col min="15" max="15" width="9.85546875" bestFit="1" customWidth="1"/>
    <col min="19" max="19" width="46.42578125" bestFit="1" customWidth="1"/>
  </cols>
  <sheetData>
    <row r="1" spans="1:13">
      <c r="A1" s="4" t="s">
        <v>22</v>
      </c>
      <c r="B1" s="4"/>
      <c r="C1" s="4"/>
      <c r="D1" s="4"/>
      <c r="E1" s="4"/>
      <c r="F1" s="4"/>
      <c r="G1" s="4"/>
      <c r="H1" s="4"/>
      <c r="I1" s="4"/>
      <c r="J1" s="4"/>
      <c r="K1" s="4"/>
    </row>
    <row r="2" spans="1:13">
      <c r="A2" s="4" t="s">
        <v>53</v>
      </c>
      <c r="B2" s="4"/>
      <c r="C2" s="4"/>
      <c r="D2" s="26" t="s">
        <v>33</v>
      </c>
      <c r="E2" s="26" t="s">
        <v>34</v>
      </c>
      <c r="F2" s="26" t="s">
        <v>35</v>
      </c>
      <c r="G2" s="26" t="s">
        <v>36</v>
      </c>
      <c r="H2" s="26" t="s">
        <v>37</v>
      </c>
      <c r="I2" s="26" t="s">
        <v>38</v>
      </c>
      <c r="J2" s="4"/>
      <c r="K2" s="4"/>
      <c r="L2" s="4"/>
    </row>
    <row r="3" spans="1:13">
      <c r="A3" s="4"/>
      <c r="B3" s="4"/>
      <c r="C3" s="4"/>
      <c r="D3" s="29" t="s">
        <v>39</v>
      </c>
      <c r="E3" s="24">
        <f>2*(0.39+0.061+0.07+0.14+0.9+0.12+0.061+0.39+0.07+0.39+0.061+0.07+0.98+1.56+0.56)</f>
        <v>11.646000000000001</v>
      </c>
      <c r="F3" s="24">
        <v>0.5</v>
      </c>
      <c r="G3" s="24">
        <f>0.47*2.5</f>
        <v>1.1749999999999998</v>
      </c>
      <c r="H3" s="24">
        <f>(1/12)*(G3*G3*E3)</f>
        <v>1.3398965624999994</v>
      </c>
      <c r="I3" s="24">
        <f>H3+(F3*F3*E3)</f>
        <v>4.2513965625000001</v>
      </c>
      <c r="J3" s="4"/>
    </row>
    <row r="4" spans="1:13">
      <c r="A4" s="16" t="s">
        <v>51</v>
      </c>
      <c r="B4" s="17">
        <f>E19/1000</f>
        <v>0.68712800000000007</v>
      </c>
      <c r="C4" s="3"/>
      <c r="D4" s="29" t="s">
        <v>40</v>
      </c>
      <c r="E4" s="24">
        <f>196.5+2*5.34</f>
        <v>207.18</v>
      </c>
      <c r="F4" s="24">
        <v>0.55000000000000004</v>
      </c>
      <c r="G4" s="24">
        <v>1.5</v>
      </c>
      <c r="H4" s="24">
        <f t="shared" ref="H4:H10" si="0">(1/12)*(G4*G4*E4)</f>
        <v>38.846249999999998</v>
      </c>
      <c r="I4" s="24">
        <f t="shared" ref="I4:I18" si="1">H4+(F4*F4*E4)</f>
        <v>101.51820000000001</v>
      </c>
      <c r="J4" s="4"/>
      <c r="K4" s="16" t="s">
        <v>23</v>
      </c>
      <c r="L4" s="18">
        <f>M7/(2*M10)+L5</f>
        <v>4.3401408279275848E-2</v>
      </c>
      <c r="M4" s="4"/>
    </row>
    <row r="5" spans="1:13">
      <c r="A5" s="16" t="s">
        <v>10</v>
      </c>
      <c r="B5" s="17">
        <f>10000/0.5</f>
        <v>20000</v>
      </c>
      <c r="C5" s="3"/>
      <c r="D5" s="29" t="s">
        <v>41</v>
      </c>
      <c r="E5" s="24">
        <v>153.80000000000001</v>
      </c>
      <c r="F5" s="24">
        <v>0.4</v>
      </c>
      <c r="G5" s="24">
        <v>1.85</v>
      </c>
      <c r="H5" s="24">
        <f t="shared" si="0"/>
        <v>43.86504166666667</v>
      </c>
      <c r="I5" s="24">
        <f t="shared" si="1"/>
        <v>68.473041666666674</v>
      </c>
      <c r="J5" s="4"/>
      <c r="K5" s="16" t="s">
        <v>24</v>
      </c>
      <c r="L5" s="18">
        <f>B14/B10/B5</f>
        <v>6.0436781609195397E-4</v>
      </c>
      <c r="M5" s="4"/>
    </row>
    <row r="6" spans="1:13">
      <c r="A6" s="16" t="s">
        <v>11</v>
      </c>
      <c r="B6" s="17">
        <f>-L32</f>
        <v>72</v>
      </c>
      <c r="C6" s="3"/>
      <c r="D6" s="29" t="s">
        <v>42</v>
      </c>
      <c r="E6" s="24">
        <f>0.51+12.02+11.34+6.48+0.95+1.63</f>
        <v>32.93</v>
      </c>
      <c r="F6" s="24">
        <v>0.4</v>
      </c>
      <c r="G6" s="24">
        <v>0.5</v>
      </c>
      <c r="H6" s="24">
        <f t="shared" si="0"/>
        <v>0.68604166666666666</v>
      </c>
      <c r="I6" s="24">
        <f t="shared" si="1"/>
        <v>5.9548416666666668</v>
      </c>
      <c r="J6" s="4"/>
      <c r="K6" s="14" t="s">
        <v>21</v>
      </c>
    </row>
    <row r="7" spans="1:13">
      <c r="D7" s="29" t="s">
        <v>43</v>
      </c>
      <c r="E7" s="24">
        <f>40.88+24.47+41.6</f>
        <v>106.94999999999999</v>
      </c>
      <c r="F7" s="24">
        <f>13.5*5/100</f>
        <v>0.67500000000000004</v>
      </c>
      <c r="G7" s="24">
        <v>0.5</v>
      </c>
      <c r="H7" s="24">
        <f t="shared" si="0"/>
        <v>2.2281249999999995</v>
      </c>
      <c r="I7" s="24">
        <f t="shared" si="1"/>
        <v>50.957218750000003</v>
      </c>
      <c r="J7" s="4"/>
      <c r="K7" s="16" t="s">
        <v>16</v>
      </c>
      <c r="L7" s="16" t="s">
        <v>14</v>
      </c>
      <c r="M7" s="17">
        <f>B13*((B8)/2)/L31/3-M8</f>
        <v>4664603.5094280802</v>
      </c>
    </row>
    <row r="8" spans="1:13">
      <c r="A8" s="16" t="s">
        <v>29</v>
      </c>
      <c r="B8" s="19">
        <f>17.5*1000</f>
        <v>17500</v>
      </c>
      <c r="C8" s="5"/>
      <c r="D8" s="29" t="s">
        <v>44</v>
      </c>
      <c r="E8" s="24">
        <f>24.16+0.88+15.03</f>
        <v>40.07</v>
      </c>
      <c r="F8" s="24">
        <v>0.6</v>
      </c>
      <c r="G8" s="24">
        <v>0.9</v>
      </c>
      <c r="H8" s="24">
        <f t="shared" si="0"/>
        <v>2.7047250000000003</v>
      </c>
      <c r="I8" s="24">
        <f t="shared" si="1"/>
        <v>17.129925</v>
      </c>
      <c r="J8" s="4"/>
      <c r="K8" s="16" t="s">
        <v>18</v>
      </c>
      <c r="L8" s="16" t="s">
        <v>15</v>
      </c>
      <c r="M8" s="17">
        <f>B14*B10*2</f>
        <v>18297840</v>
      </c>
    </row>
    <row r="9" spans="1:13">
      <c r="A9" s="16" t="s">
        <v>19</v>
      </c>
      <c r="B9" s="17">
        <f>I19*1000</f>
        <v>331945.04494583333</v>
      </c>
      <c r="C9" s="3"/>
      <c r="D9" s="29" t="s">
        <v>45</v>
      </c>
      <c r="E9" s="24">
        <f>9.97+14.36+1.82+0.35+0.35+0.18+0.24+0.05+0.08+5.39+2.76+6.8+0.1+0.08+0.06+2.76+0.93+1.12+5.45+0.1+2.77+7.05+1.53+0.54</f>
        <v>64.84</v>
      </c>
      <c r="F9" s="24">
        <v>0.75</v>
      </c>
      <c r="G9" s="24">
        <v>1.5</v>
      </c>
      <c r="H9" s="24">
        <f t="shared" si="0"/>
        <v>12.157500000000001</v>
      </c>
      <c r="I9" s="24">
        <f t="shared" si="1"/>
        <v>48.63</v>
      </c>
      <c r="J9" s="4"/>
      <c r="K9" s="16" t="s">
        <v>17</v>
      </c>
      <c r="L9" s="16" t="s">
        <v>25</v>
      </c>
      <c r="M9" s="17">
        <f>B5*B10*B10</f>
        <v>15138000000</v>
      </c>
    </row>
    <row r="10" spans="1:13">
      <c r="A10" s="16" t="s">
        <v>12</v>
      </c>
      <c r="B10" s="19">
        <v>870</v>
      </c>
      <c r="C10" s="5"/>
      <c r="D10" s="29" t="s">
        <v>46</v>
      </c>
      <c r="E10" s="24">
        <f>2*(0.15+0.2+1.246)</f>
        <v>3.1920000000000002</v>
      </c>
      <c r="F10" s="24">
        <v>0.88500000000000001</v>
      </c>
      <c r="G10" s="24">
        <v>0.71499999999999997</v>
      </c>
      <c r="H10" s="24">
        <f t="shared" si="0"/>
        <v>0.13598584999999996</v>
      </c>
      <c r="I10" s="24">
        <f t="shared" si="1"/>
        <v>2.6360400500000001</v>
      </c>
      <c r="J10" s="4"/>
      <c r="K10" s="16" t="s">
        <v>17</v>
      </c>
      <c r="L10" s="16" t="s">
        <v>26</v>
      </c>
      <c r="M10" s="17">
        <f>B6*B10*B10</f>
        <v>54496800</v>
      </c>
    </row>
    <row r="11" spans="1:13">
      <c r="A11" s="4"/>
      <c r="B11" s="4"/>
      <c r="C11" s="4"/>
      <c r="D11" s="29" t="s">
        <v>47</v>
      </c>
      <c r="E11" s="24">
        <f>2*4.51</f>
        <v>9.02</v>
      </c>
      <c r="F11" s="24">
        <f>16*5/100</f>
        <v>0.8</v>
      </c>
      <c r="G11" s="24">
        <v>0</v>
      </c>
      <c r="H11" s="24">
        <v>0</v>
      </c>
      <c r="I11" s="24">
        <f t="shared" si="1"/>
        <v>5.772800000000001</v>
      </c>
      <c r="K11" s="4"/>
      <c r="L11" s="4"/>
      <c r="M11" s="4"/>
    </row>
    <row r="12" spans="1:13">
      <c r="A12" s="4"/>
      <c r="B12" s="4"/>
      <c r="C12" s="4"/>
      <c r="D12" s="29" t="s">
        <v>48</v>
      </c>
      <c r="E12" s="24">
        <f>2*8.54</f>
        <v>17.079999999999998</v>
      </c>
      <c r="F12" s="24">
        <f>14*5/100</f>
        <v>0.7</v>
      </c>
      <c r="G12" s="24">
        <v>0</v>
      </c>
      <c r="H12" s="24">
        <v>0</v>
      </c>
      <c r="I12" s="24">
        <f t="shared" si="1"/>
        <v>8.3691999999999975</v>
      </c>
    </row>
    <row r="13" spans="1:13">
      <c r="A13" s="16" t="s">
        <v>5</v>
      </c>
      <c r="B13" s="20">
        <v>842000</v>
      </c>
      <c r="C13" s="4"/>
      <c r="D13" s="29" t="s">
        <v>49</v>
      </c>
      <c r="E13" s="24">
        <f>2*4.69</f>
        <v>9.3800000000000008</v>
      </c>
      <c r="F13" s="24">
        <v>0.45</v>
      </c>
      <c r="G13" s="24">
        <v>0</v>
      </c>
      <c r="H13" s="24">
        <v>0</v>
      </c>
      <c r="I13" s="24">
        <f t="shared" si="1"/>
        <v>1.8994500000000003</v>
      </c>
    </row>
    <row r="14" spans="1:13">
      <c r="A14" s="16" t="s">
        <v>13</v>
      </c>
      <c r="B14" s="20">
        <v>10516</v>
      </c>
      <c r="C14" s="4"/>
      <c r="D14" s="29" t="s">
        <v>50</v>
      </c>
      <c r="E14" s="24">
        <f>2*7.21</f>
        <v>14.42</v>
      </c>
      <c r="F14" s="24">
        <f>12*5/100</f>
        <v>0.6</v>
      </c>
      <c r="G14" s="24">
        <v>0</v>
      </c>
      <c r="H14" s="24">
        <v>0</v>
      </c>
      <c r="I14" s="24">
        <f t="shared" si="1"/>
        <v>5.1911999999999994</v>
      </c>
    </row>
    <row r="15" spans="1:13">
      <c r="C15" s="6"/>
      <c r="D15" s="27"/>
      <c r="E15" s="24"/>
      <c r="F15" s="24"/>
      <c r="G15" s="24"/>
      <c r="H15" s="24"/>
      <c r="I15" s="24"/>
    </row>
    <row r="16" spans="1:13">
      <c r="A16" s="16" t="s">
        <v>52</v>
      </c>
      <c r="B16" s="20">
        <v>500</v>
      </c>
      <c r="C16" s="4" t="s">
        <v>57</v>
      </c>
      <c r="D16" s="28">
        <v>21</v>
      </c>
      <c r="E16" s="24">
        <v>6.8</v>
      </c>
      <c r="F16" s="24">
        <v>0.6</v>
      </c>
      <c r="G16" s="24">
        <v>0</v>
      </c>
      <c r="H16" s="24">
        <v>0</v>
      </c>
      <c r="I16" s="24">
        <f t="shared" si="1"/>
        <v>2.448</v>
      </c>
    </row>
    <row r="17" spans="1:19">
      <c r="A17" s="16" t="s">
        <v>1</v>
      </c>
      <c r="B17" s="17">
        <f>2*PI()*(B9*B4/M9)^0.5/1000</f>
        <v>2.438919893124924E-5</v>
      </c>
      <c r="C17" s="3"/>
      <c r="D17" s="28">
        <v>22</v>
      </c>
      <c r="E17" s="24">
        <v>2.77</v>
      </c>
      <c r="F17" s="24">
        <f>15.5*5/100</f>
        <v>0.77500000000000002</v>
      </c>
      <c r="G17" s="24">
        <v>0</v>
      </c>
      <c r="H17" s="24">
        <v>0</v>
      </c>
      <c r="I17" s="24">
        <f t="shared" si="1"/>
        <v>1.6637312500000003</v>
      </c>
    </row>
    <row r="18" spans="1:19">
      <c r="A18" s="16" t="s">
        <v>27</v>
      </c>
      <c r="B18" s="21">
        <v>0.15</v>
      </c>
      <c r="C18" s="12" t="s">
        <v>55</v>
      </c>
      <c r="D18" s="28">
        <v>23</v>
      </c>
      <c r="E18" s="24">
        <v>7.05</v>
      </c>
      <c r="F18" s="24">
        <f>20*5/100</f>
        <v>1</v>
      </c>
      <c r="G18" s="24">
        <v>0</v>
      </c>
      <c r="H18" s="24">
        <v>0</v>
      </c>
      <c r="I18" s="24">
        <f t="shared" si="1"/>
        <v>7.05</v>
      </c>
      <c r="M18" s="4"/>
    </row>
    <row r="19" spans="1:19">
      <c r="A19" s="16" t="s">
        <v>2</v>
      </c>
      <c r="B19" s="17">
        <f>CEILING(B18/B17/B16,1)</f>
        <v>13</v>
      </c>
      <c r="C19" s="3" t="s">
        <v>54</v>
      </c>
      <c r="D19" s="15" t="s">
        <v>60</v>
      </c>
      <c r="E19" s="24">
        <f>SUM(E3:E18)</f>
        <v>687.12800000000004</v>
      </c>
      <c r="F19" s="24"/>
      <c r="G19" s="24"/>
      <c r="H19" s="24"/>
      <c r="I19" s="25">
        <f>SUM(I3:I14)+SUM(I16:I18)</f>
        <v>331.94504494583333</v>
      </c>
      <c r="M19" s="4"/>
    </row>
    <row r="20" spans="1:19">
      <c r="A20" s="16" t="s">
        <v>0</v>
      </c>
      <c r="B20" s="17">
        <f>B18/B16/B19</f>
        <v>2.3076923076923076E-5</v>
      </c>
      <c r="C20" s="4" t="s">
        <v>56</v>
      </c>
      <c r="D20" s="4"/>
      <c r="H20" s="4"/>
      <c r="L20" s="4"/>
    </row>
    <row r="21" spans="1:19">
      <c r="A21" s="16" t="s">
        <v>8</v>
      </c>
      <c r="B21" s="17">
        <f>L4</f>
        <v>4.3401408279275848E-2</v>
      </c>
      <c r="C21" s="4" t="s">
        <v>58</v>
      </c>
      <c r="D21" s="4"/>
      <c r="E21" s="4"/>
      <c r="F21" s="4"/>
      <c r="G21" s="4"/>
      <c r="H21" s="4"/>
      <c r="L21" s="4"/>
    </row>
    <row r="22" spans="1:19">
      <c r="A22" s="16" t="s">
        <v>9</v>
      </c>
      <c r="B22" s="17">
        <f>L5</f>
        <v>6.0436781609195397E-4</v>
      </c>
      <c r="C22" s="4" t="s">
        <v>59</v>
      </c>
      <c r="D22" s="4"/>
      <c r="E22" s="4"/>
      <c r="F22" s="4"/>
      <c r="G22" s="4"/>
      <c r="H22" s="4"/>
    </row>
    <row r="26" spans="1:19">
      <c r="M26" s="7"/>
      <c r="N26" s="7"/>
      <c r="O26" s="7"/>
      <c r="P26" s="7"/>
      <c r="Q26" s="7"/>
      <c r="R26" s="7"/>
      <c r="S26" s="7"/>
    </row>
    <row r="27" spans="1:19">
      <c r="M27" s="7"/>
      <c r="N27" s="7"/>
      <c r="O27" s="7"/>
      <c r="P27" s="7"/>
      <c r="Q27" s="7"/>
      <c r="R27" s="7"/>
      <c r="S27" s="7"/>
    </row>
    <row r="28" spans="1:19">
      <c r="K28" s="4">
        <v>12460</v>
      </c>
      <c r="L28" s="4">
        <v>278</v>
      </c>
      <c r="N28" s="8"/>
      <c r="O28" s="8"/>
      <c r="P28" s="8"/>
      <c r="Q28" s="8"/>
      <c r="R28" s="8"/>
      <c r="S28" s="8"/>
    </row>
    <row r="29" spans="1:19">
      <c r="K29" s="4">
        <v>10516</v>
      </c>
      <c r="L29" s="4">
        <v>305</v>
      </c>
      <c r="N29" s="8"/>
      <c r="O29" s="9"/>
      <c r="P29" s="9"/>
      <c r="Q29" s="9"/>
      <c r="R29" s="9"/>
      <c r="S29" s="35"/>
    </row>
    <row r="30" spans="1:19">
      <c r="K30" s="4">
        <f>K28-K29</f>
        <v>1944</v>
      </c>
      <c r="L30" s="4">
        <f>L28-L29</f>
        <v>-27</v>
      </c>
      <c r="N30" s="8"/>
      <c r="O30" s="9"/>
      <c r="P30" s="9"/>
      <c r="Q30" s="9"/>
      <c r="R30" s="9"/>
      <c r="S30" s="35"/>
    </row>
    <row r="31" spans="1:19">
      <c r="K31" s="4"/>
      <c r="L31" s="13">
        <f>320.85/3</f>
        <v>106.95</v>
      </c>
      <c r="N31" s="8"/>
      <c r="O31" s="9"/>
      <c r="P31" s="9"/>
      <c r="Q31" s="9"/>
      <c r="R31" s="9"/>
      <c r="S31" s="35"/>
    </row>
    <row r="32" spans="1:19">
      <c r="K32" s="4"/>
      <c r="L32" s="4">
        <f>K30/L30</f>
        <v>-72</v>
      </c>
      <c r="M32" t="s">
        <v>20</v>
      </c>
      <c r="N32" s="8"/>
      <c r="O32" s="9"/>
      <c r="P32" s="8"/>
      <c r="Q32" s="9"/>
      <c r="R32" s="9"/>
      <c r="S32" s="35"/>
    </row>
    <row r="33" spans="13:19">
      <c r="M33" s="7"/>
      <c r="N33" s="8"/>
      <c r="O33" s="10"/>
      <c r="P33" s="10"/>
      <c r="Q33" s="10"/>
      <c r="R33" s="9"/>
      <c r="S33" s="35"/>
    </row>
    <row r="34" spans="13:19">
      <c r="M34" s="7"/>
      <c r="N34" s="8"/>
      <c r="O34" s="10"/>
      <c r="P34" s="10"/>
      <c r="Q34" s="10"/>
      <c r="R34" s="9"/>
      <c r="S34" s="35"/>
    </row>
    <row r="35" spans="13:19">
      <c r="M35" s="7"/>
      <c r="N35" s="8"/>
      <c r="O35" s="9"/>
      <c r="P35" s="9"/>
      <c r="Q35" s="9"/>
      <c r="R35" s="9"/>
      <c r="S35" s="35"/>
    </row>
    <row r="36" spans="13:19">
      <c r="M36" s="7"/>
      <c r="N36" s="8"/>
      <c r="O36" s="8"/>
      <c r="P36" s="8"/>
      <c r="Q36" s="8"/>
      <c r="R36" s="8"/>
      <c r="S36" s="11"/>
    </row>
    <row r="37" spans="13:19">
      <c r="S37" s="2"/>
    </row>
    <row r="38" spans="13:19">
      <c r="N38" s="1"/>
      <c r="O38" s="1"/>
      <c r="P38" s="1"/>
      <c r="Q38" s="1"/>
      <c r="R38" s="1"/>
      <c r="S38" s="2"/>
    </row>
  </sheetData>
  <mergeCells count="1">
    <mergeCell ref="S29:S3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L501"/>
  <sheetViews>
    <sheetView workbookViewId="0">
      <selection activeCell="F14" sqref="F14"/>
    </sheetView>
  </sheetViews>
  <sheetFormatPr defaultRowHeight="15"/>
  <cols>
    <col min="1" max="2" width="9.140625" style="22"/>
    <col min="3" max="3" width="14" style="22" customWidth="1"/>
    <col min="4" max="4" width="19.7109375" style="22" customWidth="1"/>
    <col min="5" max="5" width="14.7109375" style="22" customWidth="1"/>
    <col min="6" max="6" width="25" style="22" customWidth="1"/>
    <col min="7" max="8" width="9.140625" style="22"/>
    <col min="11" max="11" width="19.7109375" customWidth="1"/>
  </cols>
  <sheetData>
    <row r="1" spans="1:12">
      <c r="A1" s="23" t="s">
        <v>3</v>
      </c>
      <c r="B1" s="23" t="s">
        <v>4</v>
      </c>
      <c r="C1" s="23" t="s">
        <v>6</v>
      </c>
      <c r="D1" s="23" t="s">
        <v>7</v>
      </c>
      <c r="E1" s="23" t="s">
        <v>28</v>
      </c>
      <c r="F1" s="23" t="s">
        <v>30</v>
      </c>
      <c r="G1" s="23" t="s">
        <v>31</v>
      </c>
      <c r="H1" s="23" t="s">
        <v>32</v>
      </c>
      <c r="J1" s="30" t="s">
        <v>62</v>
      </c>
      <c r="K1" s="32">
        <v>42873.887604166666</v>
      </c>
      <c r="L1" s="34">
        <v>9</v>
      </c>
    </row>
    <row r="2" spans="1:12">
      <c r="A2" s="22">
        <v>2.9999999999999997E-4</v>
      </c>
      <c r="B2" s="22">
        <v>-4.3396515519668707E-2</v>
      </c>
      <c r="C2" s="22">
        <v>3.0288411652089245E-2</v>
      </c>
      <c r="D2" s="22">
        <v>100.96008753905382</v>
      </c>
      <c r="E2" s="22">
        <v>-23027858.636475891</v>
      </c>
      <c r="F2" s="22">
        <f>(E2/dane!$B$8)*dane!$L$31</f>
        <v>-140733.11320977693</v>
      </c>
      <c r="G2" s="22">
        <f xml:space="preserve"> B2*dane!$B$10</f>
        <v>-37.754968502111772</v>
      </c>
      <c r="H2" s="22">
        <f>(B2*dane!$M$10)/dane!$B$10</f>
        <v>-2718.3577321520474</v>
      </c>
      <c r="J2" s="31" t="s">
        <v>61</v>
      </c>
      <c r="K2" s="33">
        <v>42873.887604166666</v>
      </c>
      <c r="L2" s="34">
        <v>9</v>
      </c>
    </row>
    <row r="3" spans="1:12">
      <c r="A3" s="22">
        <v>5.9999999999999995E-4</v>
      </c>
      <c r="B3" s="22">
        <v>-4.3382536414615536E-2</v>
      </c>
      <c r="C3" s="22">
        <v>6.0575520693535029E-2</v>
      </c>
      <c r="D3" s="22">
        <v>100.95374152757472</v>
      </c>
      <c r="E3" s="22">
        <v>-23026411.182746321</v>
      </c>
      <c r="F3" s="22">
        <f>(E3/dane!$B$8)*dane!$L$31</f>
        <v>-140724.26719969822</v>
      </c>
      <c r="G3" s="22">
        <f xml:space="preserve"> B3*dane!$B$10</f>
        <v>-37.742806680715518</v>
      </c>
    </row>
    <row r="4" spans="1:12">
      <c r="A4" s="22">
        <v>8.9999999999999998E-4</v>
      </c>
      <c r="B4" s="22">
        <v>-4.3359471565314285E-2</v>
      </c>
      <c r="C4" s="22">
        <v>9.0860024569715162E-2</v>
      </c>
      <c r="D4" s="22">
        <v>100.94305380878788</v>
      </c>
      <c r="E4" s="22">
        <v>-23023973.434489869</v>
      </c>
      <c r="F4" s="22">
        <f>(E4/dane!$B$8)*dane!$L$31</f>
        <v>-140709.36907535381</v>
      </c>
      <c r="G4" s="22">
        <f xml:space="preserve"> B4*dane!$B$10</f>
        <v>-37.722740261823425</v>
      </c>
    </row>
    <row r="5" spans="1:12">
      <c r="A5" s="22">
        <v>1.199999999999999E-3</v>
      </c>
      <c r="B5" s="22">
        <v>-4.332732196371257E-2</v>
      </c>
      <c r="C5" s="22">
        <v>0.12114062083804751</v>
      </c>
      <c r="D5" s="22">
        <v>100.92802484233891</v>
      </c>
      <c r="E5" s="22">
        <v>-23020545.496546518</v>
      </c>
      <c r="F5" s="22">
        <f>(E5/dane!$B$8)*dane!$L$31</f>
        <v>-140688.41947746574</v>
      </c>
      <c r="G5" s="22">
        <f xml:space="preserve"> B5*dane!$B$10</f>
        <v>-37.694770108429935</v>
      </c>
    </row>
    <row r="6" spans="1:12">
      <c r="A6" s="22">
        <v>1.4999999999999976E-3</v>
      </c>
      <c r="B6" s="22">
        <v>-4.3286088992465048E-2</v>
      </c>
      <c r="C6" s="22">
        <v>0.15141600722400403</v>
      </c>
      <c r="D6" s="22">
        <v>100.90865527457707</v>
      </c>
      <c r="E6" s="22">
        <v>-23016127.516341254</v>
      </c>
      <c r="F6" s="22">
        <f>(E6/dane!$B$8)*dane!$L$31</f>
        <v>-140661.41930701127</v>
      </c>
      <c r="G6" s="22">
        <f xml:space="preserve"> B6*dane!$B$10</f>
        <v>-37.658897423444593</v>
      </c>
    </row>
    <row r="7" spans="1:12">
      <c r="A7" s="22">
        <v>1.7999999999999963E-3</v>
      </c>
      <c r="B7" s="22">
        <v>-4.3235774424873911E-2</v>
      </c>
      <c r="C7" s="22">
        <v>0.18168488167711758</v>
      </c>
      <c r="D7" s="22">
        <v>100.88494593852737</v>
      </c>
      <c r="E7" s="22">
        <v>-23010719.683877695</v>
      </c>
      <c r="F7" s="22">
        <f>(E7/dane!$B$8)*dane!$L$31</f>
        <v>-140628.36972518396</v>
      </c>
      <c r="G7" s="22">
        <f xml:space="preserve"> B7*dane!$B$10</f>
        <v>-37.615123749640304</v>
      </c>
    </row>
    <row r="8" spans="1:12">
      <c r="A8" s="22">
        <v>2.0999999999999951E-3</v>
      </c>
      <c r="B8" s="22">
        <v>-4.3176380424812692E-2</v>
      </c>
      <c r="C8" s="22">
        <v>0.21194594242697901</v>
      </c>
      <c r="D8" s="22">
        <v>100.85689785385485</v>
      </c>
      <c r="E8" s="22">
        <v>-23004322.231729954</v>
      </c>
      <c r="F8" s="22">
        <f>(E8/dane!$B$8)*dane!$L$31</f>
        <v>-140589.27215334392</v>
      </c>
      <c r="G8" s="22">
        <f xml:space="preserve"> B8*dane!$B$10</f>
        <v>-37.563450969587045</v>
      </c>
    </row>
    <row r="9" spans="1:12">
      <c r="A9" s="22">
        <v>2.3999999999999937E-3</v>
      </c>
      <c r="B9" s="22">
        <v>-4.3107909546633086E-2</v>
      </c>
      <c r="C9" s="22">
        <v>0.24219788803922235</v>
      </c>
      <c r="D9" s="22">
        <v>100.82451222682057</v>
      </c>
      <c r="E9" s="22">
        <v>-22996935.435032595</v>
      </c>
      <c r="F9" s="22">
        <f>(E9/dane!$B$8)*dane!$L$31</f>
        <v>-140544.12827295632</v>
      </c>
      <c r="G9" s="22">
        <f xml:space="preserve"> B9*dane!$B$10</f>
        <v>-37.503881305570786</v>
      </c>
    </row>
    <row r="10" spans="1:12">
      <c r="A10" s="22">
        <v>2.6999999999999923E-3</v>
      </c>
      <c r="B10" s="22">
        <v>-4.303036473505522E-2</v>
      </c>
      <c r="C10" s="22">
        <v>0.27243941747149547</v>
      </c>
      <c r="D10" s="22">
        <v>100.78779045022999</v>
      </c>
      <c r="E10" s="22">
        <v>-22988559.61146884</v>
      </c>
      <c r="F10" s="22">
        <f>(E10/dane!$B$8)*dane!$L$31</f>
        <v>-140492.94002551958</v>
      </c>
      <c r="G10" s="22">
        <f xml:space="preserve"> B10*dane!$B$10</f>
        <v>-37.436417319498041</v>
      </c>
    </row>
    <row r="11" spans="1:12">
      <c r="A11" s="22">
        <v>2.999999999999991E-3</v>
      </c>
      <c r="B11" s="22">
        <v>-4.2943749325040914E-2</v>
      </c>
      <c r="C11" s="22">
        <v>0.30266923012941371</v>
      </c>
      <c r="D11" s="22">
        <v>100.74673410337277</v>
      </c>
      <c r="E11" s="22">
        <v>-22979195.12125688</v>
      </c>
      <c r="F11" s="22">
        <f>(E11/dane!$B$8)*dane!$L$31</f>
        <v>-140435.70961248135</v>
      </c>
      <c r="G11" s="22">
        <f xml:space="preserve"> B11*dane!$B$10</f>
        <v>-37.361061912785594</v>
      </c>
    </row>
    <row r="12" spans="1:12">
      <c r="A12" s="22">
        <v>3.2999999999999896E-3</v>
      </c>
      <c r="B12" s="22">
        <v>-4.2848067041650312E-2</v>
      </c>
      <c r="C12" s="22">
        <v>0.33288602592249472</v>
      </c>
      <c r="D12" s="22">
        <v>100.70134495195506</v>
      </c>
      <c r="E12" s="22">
        <v>-22968842.367134392</v>
      </c>
      <c r="F12" s="22">
        <f>(E12/dane!$B$8)*dane!$L$31</f>
        <v>-140372.43949514421</v>
      </c>
      <c r="G12" s="22">
        <f xml:space="preserve"> B12*dane!$B$10</f>
        <v>-37.277818326235774</v>
      </c>
    </row>
    <row r="13" spans="1:12">
      <c r="A13" s="22">
        <v>3.5999999999999882E-3</v>
      </c>
      <c r="B13" s="22">
        <v>-4.2743321999881657E-2</v>
      </c>
      <c r="C13" s="22">
        <v>0.36308850532007086</v>
      </c>
      <c r="D13" s="22">
        <v>100.65162494802351</v>
      </c>
      <c r="E13" s="22">
        <v>-22957501.794341229</v>
      </c>
      <c r="F13" s="22">
        <f>(E13/dane!$B$8)*dane!$L$31</f>
        <v>-140303.13239455968</v>
      </c>
      <c r="G13" s="22">
        <f xml:space="preserve"> B13*dane!$B$10</f>
        <v>-37.186690139897038</v>
      </c>
    </row>
    <row r="14" spans="1:12">
      <c r="A14" s="22">
        <v>3.8999999999999868E-3</v>
      </c>
      <c r="B14" s="22">
        <v>-4.2629518704494315E-2</v>
      </c>
      <c r="C14" s="22">
        <v>0.39327536940717861</v>
      </c>
      <c r="D14" s="22">
        <v>100.59757622988123</v>
      </c>
      <c r="E14" s="22">
        <v>-22945173.890600242</v>
      </c>
      <c r="F14" s="22">
        <f>(E14/dane!$B$8)*dane!$L$31</f>
        <v>-140227.79129141121</v>
      </c>
      <c r="G14" s="22">
        <f xml:space="preserve"> B14*dane!$B$10</f>
        <v>-37.087681272910054</v>
      </c>
    </row>
    <row r="15" spans="1:12">
      <c r="A15" s="22">
        <v>4.1999999999999911E-3</v>
      </c>
      <c r="B15" s="22">
        <v>-4.2506662049815055E-2</v>
      </c>
      <c r="C15" s="22">
        <v>0.42344531994042012</v>
      </c>
      <c r="D15" s="22">
        <v>100.53920112199599</v>
      </c>
      <c r="E15" s="22">
        <v>-22931859.18609634</v>
      </c>
      <c r="F15" s="22">
        <f>(E15/dane!$B$8)*dane!$L$31</f>
        <v>-140146.41942588592</v>
      </c>
      <c r="G15" s="22">
        <f xml:space="preserve"> B15*dane!$B$10</f>
        <v>-36.9807959833391</v>
      </c>
    </row>
    <row r="16" spans="1:12">
      <c r="A16" s="22">
        <v>4.4999999999999953E-3</v>
      </c>
      <c r="B16" s="22">
        <v>-4.2374757319527563E-2</v>
      </c>
      <c r="C16" s="22">
        <v>0.4535970594037973</v>
      </c>
      <c r="D16" s="22">
        <v>100.47650213490012</v>
      </c>
      <c r="E16" s="22">
        <v>-22917558.253453672</v>
      </c>
      <c r="F16" s="22">
        <f>(E16/dane!$B$8)*dane!$L$31</f>
        <v>-140059.02029753543</v>
      </c>
      <c r="G16" s="22">
        <f xml:space="preserve"> B16*dane!$B$10</f>
        <v>-36.866038867988983</v>
      </c>
    </row>
    <row r="17" spans="1:7">
      <c r="A17" s="22">
        <v>4.7999999999999996E-3</v>
      </c>
      <c r="B17" s="22">
        <v>-4.2233810186445155E-2</v>
      </c>
      <c r="C17" s="22">
        <v>0.48372929106451368</v>
      </c>
      <c r="D17" s="22">
        <v>100.40948196508256</v>
      </c>
      <c r="E17" s="22">
        <v>-22902271.707710989</v>
      </c>
      <c r="F17" s="22">
        <f>(E17/dane!$B$8)*dane!$L$31</f>
        <v>-139965.59766512515</v>
      </c>
      <c r="G17" s="22">
        <f xml:space="preserve"> B17*dane!$B$10</f>
        <v>-36.743414862207281</v>
      </c>
    </row>
    <row r="18" spans="1:7">
      <c r="A18" s="22">
        <v>5.1000000000000038E-3</v>
      </c>
      <c r="B18" s="22">
        <v>-4.2083826712266889E-2</v>
      </c>
      <c r="C18" s="22">
        <v>0.51384071902874284</v>
      </c>
      <c r="D18" s="22">
        <v>100.33814349487299</v>
      </c>
      <c r="E18" s="22">
        <v>-22886000.206295215</v>
      </c>
      <c r="F18" s="22">
        <f>(E18/dane!$B$8)*dane!$L$31</f>
        <v>-139866.15554647276</v>
      </c>
      <c r="G18" s="22">
        <f xml:space="preserve"> B18*dane!$B$10</f>
        <v>-36.612929239672191</v>
      </c>
    </row>
    <row r="19" spans="1:7">
      <c r="A19" s="22">
        <v>5.4000000000000081E-3</v>
      </c>
      <c r="B19" s="22">
        <v>-4.1924813347316799E-2</v>
      </c>
      <c r="C19" s="22">
        <v>0.54393004829736091</v>
      </c>
      <c r="D19" s="22">
        <v>100.26248979231775</v>
      </c>
      <c r="E19" s="22">
        <v>-22868744.448993158</v>
      </c>
      <c r="F19" s="22">
        <f>(E19/dane!$B$8)*dane!$L$31</f>
        <v>-139760.69821827533</v>
      </c>
      <c r="G19" s="22">
        <f xml:space="preserve"> B19*dane!$B$10</f>
        <v>-36.474587612165614</v>
      </c>
    </row>
    <row r="20" spans="1:7">
      <c r="A20" s="22">
        <v>5.7000000000000123E-3</v>
      </c>
      <c r="B20" s="22">
        <v>-4.1756776930266491E-2</v>
      </c>
      <c r="C20" s="22">
        <v>0.57399598482164016</v>
      </c>
      <c r="D20" s="22">
        <v>100.1825241110479</v>
      </c>
      <c r="E20" s="22">
        <v>-22850505.177921414</v>
      </c>
      <c r="F20" s="22">
        <f>(E20/dane!$B$8)*dane!$L$31</f>
        <v>-139649.23021592543</v>
      </c>
      <c r="G20" s="22">
        <f xml:space="preserve"> B20*dane!$B$10</f>
        <v>-36.328395929331847</v>
      </c>
    </row>
    <row r="21" spans="1:7">
      <c r="A21" s="22">
        <v>6.0000000000000166E-3</v>
      </c>
      <c r="B21" s="22">
        <v>-4.1579724687841116E-2</v>
      </c>
      <c r="C21" s="22">
        <v>0.60403723555890254</v>
      </c>
      <c r="D21" s="22">
        <v>100.0982498901394</v>
      </c>
      <c r="E21" s="22">
        <v>-22831283.17749447</v>
      </c>
      <c r="F21" s="22">
        <f>(E21/dane!$B$8)*dane!$L$31</f>
        <v>-139531.75633331621</v>
      </c>
      <c r="G21" s="22">
        <f xml:space="preserve"> B21*dane!$B$10</f>
        <v>-36.174360478421768</v>
      </c>
    </row>
    <row r="22" spans="1:7">
      <c r="A22" s="22">
        <v>6.3000000000000209E-3</v>
      </c>
      <c r="B22" s="22">
        <v>-4.1393664234508479E-2</v>
      </c>
      <c r="C22" s="22">
        <v>0.63405250852812844</v>
      </c>
      <c r="D22" s="22">
        <v>100.00967075396511</v>
      </c>
      <c r="E22" s="22">
        <v>-22811079.274390943</v>
      </c>
      <c r="F22" s="22">
        <f>(E22/dane!$B$8)*dane!$L$31</f>
        <v>-139408.28162263494</v>
      </c>
      <c r="G22" s="22">
        <f xml:space="preserve"> B22*dane!$B$10</f>
        <v>-36.012487884022377</v>
      </c>
    </row>
    <row r="23" spans="1:7">
      <c r="A23" s="22">
        <v>6.6000000000000251E-3</v>
      </c>
      <c r="B23" s="22">
        <v>-4.119860357215159E-2</v>
      </c>
      <c r="C23" s="22">
        <v>0.66404051286552279</v>
      </c>
      <c r="D23" s="22">
        <v>99.916790512038929</v>
      </c>
      <c r="E23" s="22">
        <v>-22789894.33751804</v>
      </c>
      <c r="F23" s="22">
        <f>(E23/dane!$B$8)*dane!$L$31</f>
        <v>-139278.81139414595</v>
      </c>
      <c r="G23" s="22">
        <f xml:space="preserve"> B23*dane!$B$10</f>
        <v>-35.842785107771881</v>
      </c>
    </row>
    <row r="24" spans="1:7">
      <c r="A24" s="22">
        <v>6.9000000000000294E-3</v>
      </c>
      <c r="B24" s="22">
        <v>-4.0994551089724524E-2</v>
      </c>
      <c r="C24" s="22">
        <v>0.69399995888002841</v>
      </c>
      <c r="D24" s="22">
        <v>99.819613158851993</v>
      </c>
      <c r="E24" s="22">
        <v>-22767729.277974188</v>
      </c>
      <c r="F24" s="22">
        <f>(E24/dane!$B$8)*dane!$L$31</f>
        <v>-139143.35121596226</v>
      </c>
      <c r="G24" s="22">
        <f xml:space="preserve"> B24*dane!$B$10</f>
        <v>-35.665259448060333</v>
      </c>
    </row>
    <row r="25" spans="1:7">
      <c r="A25" s="22">
        <v>7.2000000000000336E-3</v>
      </c>
      <c r="B25" s="22">
        <v>-4.0781515562891696E-2</v>
      </c>
      <c r="C25" s="22">
        <v>0.72392955810879378</v>
      </c>
      <c r="D25" s="22">
        <v>99.718142873700884</v>
      </c>
      <c r="E25" s="22">
        <v>-22744585.049009856</v>
      </c>
      <c r="F25" s="22">
        <f>(E25/dane!$B$8)*dane!$L$31</f>
        <v>-139001.90691380596</v>
      </c>
      <c r="G25" s="22">
        <f xml:space="preserve"> B25*dane!$B$10</f>
        <v>-35.479918539715776</v>
      </c>
    </row>
    <row r="26" spans="1:7">
      <c r="A26" s="22">
        <v>7.5000000000000379E-3</v>
      </c>
      <c r="B26" s="22">
        <v>-4.0559506153650338E-2</v>
      </c>
      <c r="C26" s="22">
        <v>0.75382802337258514</v>
      </c>
      <c r="D26" s="22">
        <v>99.61238402050779</v>
      </c>
      <c r="E26" s="22">
        <v>-22720462.645986542</v>
      </c>
      <c r="F26" s="22">
        <f>(E26/dane!$B$8)*dane!$L$31</f>
        <v>-138854.48457075778</v>
      </c>
      <c r="G26" s="22">
        <f xml:space="preserve"> B26*dane!$B$10</f>
        <v>-35.286770353675792</v>
      </c>
    </row>
    <row r="27" spans="1:7">
      <c r="A27" s="22">
        <v>7.8000000000000421E-3</v>
      </c>
      <c r="B27" s="22">
        <v>-4.0328532409936606E-2</v>
      </c>
      <c r="C27" s="22">
        <v>0.78369406883114334</v>
      </c>
      <c r="D27" s="22">
        <v>99.502341147633018</v>
      </c>
      <c r="E27" s="22">
        <v>-22695363.106333986</v>
      </c>
      <c r="F27" s="22">
        <f>(E27/dane!$B$8)*dane!$L$31</f>
        <v>-138701.09052699542</v>
      </c>
      <c r="G27" s="22">
        <f xml:space="preserve"> B27*dane!$B$10</f>
        <v>-35.085823196644846</v>
      </c>
    </row>
    <row r="28" spans="1:7">
      <c r="A28" s="22">
        <v>8.100000000000036E-3</v>
      </c>
      <c r="B28" s="22">
        <v>-4.0088604265214808E-2</v>
      </c>
      <c r="C28" s="22">
        <v>0.81352641003848514</v>
      </c>
      <c r="D28" s="22">
        <v>99.388018987679231</v>
      </c>
      <c r="E28" s="22">
        <v>-22669287.509505544</v>
      </c>
      <c r="F28" s="22">
        <f>(E28/dane!$B$8)*dane!$L$31</f>
        <v>-138541.73137952102</v>
      </c>
      <c r="G28" s="22">
        <f xml:space="preserve"> B28*dane!$B$10</f>
        <v>-34.877085710736885</v>
      </c>
    </row>
    <row r="29" spans="1:7">
      <c r="A29" s="22">
        <v>8.400000000000029E-3</v>
      </c>
      <c r="B29" s="22">
        <v>-3.9839732038050302E-2</v>
      </c>
      <c r="C29" s="22">
        <v>0.84332376399814246</v>
      </c>
      <c r="D29" s="22">
        <v>99.269422457287902</v>
      </c>
      <c r="E29" s="22">
        <v>-22642236.976931754</v>
      </c>
      <c r="F29" s="22">
        <f>(E29/dane!$B$8)*dane!$L$31</f>
        <v>-138376.41398187721</v>
      </c>
      <c r="G29" s="22">
        <f xml:space="preserve"> B29*dane!$B$10</f>
        <v>-34.660566873103761</v>
      </c>
    </row>
    <row r="30" spans="1:7">
      <c r="A30" s="22">
        <v>8.700000000000022E-3</v>
      </c>
      <c r="B30" s="22">
        <v>-3.9581926431665665E-2</v>
      </c>
      <c r="C30" s="22">
        <v>0.87308484921833973</v>
      </c>
      <c r="D30" s="22">
        <v>99.146556656927999</v>
      </c>
      <c r="E30" s="22">
        <v>-22614212.671972126</v>
      </c>
      <c r="F30" s="22">
        <f>(E30/dane!$B$8)*dane!$L$31</f>
        <v>-138205.14544385253</v>
      </c>
      <c r="G30" s="22">
        <f xml:space="preserve"> B30*dane!$B$10</f>
        <v>-34.436275995549131</v>
      </c>
    </row>
    <row r="31" spans="1:7">
      <c r="A31" s="22">
        <v>9.0000000000000149E-3</v>
      </c>
      <c r="B31" s="22">
        <v>-3.931519853348045E-2</v>
      </c>
      <c r="C31" s="22">
        <v>0.90280838576710809</v>
      </c>
      <c r="D31" s="22">
        <v>99.01942687067654</v>
      </c>
      <c r="E31" s="22">
        <v>-22585215.799865101</v>
      </c>
      <c r="F31" s="22">
        <f>(E31/dane!$B$8)*dane!$L$31</f>
        <v>-138027.93313117558</v>
      </c>
      <c r="G31" s="22">
        <f xml:space="preserve"> B31*dane!$B$10</f>
        <v>-34.204222724127995</v>
      </c>
    </row>
    <row r="32" spans="1:7">
      <c r="A32" s="22">
        <v>9.3000000000000079E-3</v>
      </c>
      <c r="B32" s="22">
        <v>-3.9039559814634264E-2</v>
      </c>
      <c r="C32" s="22">
        <v>0.93249309532733038</v>
      </c>
      <c r="D32" s="22">
        <v>98.88803856599128</v>
      </c>
      <c r="E32" s="22">
        <v>-22555247.607676201</v>
      </c>
      <c r="F32" s="22">
        <f>(E32/dane!$B$8)*dane!$L$31</f>
        <v>-137844.78466519827</v>
      </c>
      <c r="G32" s="22">
        <f xml:space="preserve"> B32*dane!$B$10</f>
        <v>-33.96441703873181</v>
      </c>
    </row>
    <row r="33" spans="1:7">
      <c r="A33" s="22">
        <v>9.6000000000000009E-3</v>
      </c>
      <c r="B33" s="22">
        <v>-3.8755022129493513E-2</v>
      </c>
      <c r="C33" s="22">
        <v>0.96213770125171738</v>
      </c>
      <c r="D33" s="22">
        <v>98.752397393475732</v>
      </c>
      <c r="E33" s="22">
        <v>-22524309.384244435</v>
      </c>
      <c r="F33" s="22">
        <f>(E33/dane!$B$8)*dane!$L$31</f>
        <v>-137655.70792256814</v>
      </c>
      <c r="G33" s="22">
        <f xml:space="preserve"> B33*dane!$B$10</f>
        <v>-33.716869252659357</v>
      </c>
    </row>
    <row r="34" spans="1:7">
      <c r="A34" s="22">
        <v>9.8999999999999939E-3</v>
      </c>
      <c r="B34" s="22">
        <v>-3.8461597715141495E-2</v>
      </c>
      <c r="C34" s="22">
        <v>0.99174092861771368</v>
      </c>
      <c r="D34" s="22">
        <v>98.612509186636018</v>
      </c>
      <c r="E34" s="22">
        <v>-22492402.460126832</v>
      </c>
      <c r="F34" s="22">
        <f>(E34/dane!$B$8)*dane!$L$31</f>
        <v>-137460.71103488942</v>
      </c>
      <c r="G34" s="22">
        <f xml:space="preserve"> B34*dane!$B$10</f>
        <v>-33.461590012173097</v>
      </c>
    </row>
    <row r="35" spans="1:7">
      <c r="A35" s="22">
        <v>1.0199999999999987E-2</v>
      </c>
      <c r="B35" s="22">
        <v>-3.815929919085221E-2</v>
      </c>
      <c r="C35" s="22">
        <v>1.0213015042823264</v>
      </c>
      <c r="D35" s="22">
        <v>98.468379961630021</v>
      </c>
      <c r="E35" s="22">
        <v>-22459528.207541235</v>
      </c>
      <c r="F35" s="22">
        <f>(E35/dane!$B$8)*dane!$L$31</f>
        <v>-137259.80238837344</v>
      </c>
      <c r="G35" s="22">
        <f xml:space="preserve"> B35*dane!$B$10</f>
        <v>-33.198590296041424</v>
      </c>
    </row>
    <row r="36" spans="1:7">
      <c r="A36" s="22">
        <v>1.049999999999998E-2</v>
      </c>
      <c r="B36" s="22">
        <v>-3.7848139557547567E-2</v>
      </c>
      <c r="C36" s="22">
        <v>1.0508181569368804</v>
      </c>
      <c r="D36" s="22">
        <v>98.320015917008689</v>
      </c>
      <c r="E36" s="22">
        <v>-22425688.040307283</v>
      </c>
      <c r="F36" s="22">
        <f>(E36/dane!$B$8)*dane!$L$31</f>
        <v>-137052.99062347793</v>
      </c>
      <c r="G36" s="22">
        <f xml:space="preserve"> B36*dane!$B$10</f>
        <v>-32.927881415066381</v>
      </c>
    </row>
    <row r="37" spans="1:7">
      <c r="A37" s="22">
        <v>1.0799999999999973E-2</v>
      </c>
      <c r="B37" s="22">
        <v>-3.7528132197238342E-2</v>
      </c>
      <c r="C37" s="22">
        <v>1.0802896171616934</v>
      </c>
      <c r="D37" s="22">
        <v>98.167423433449414</v>
      </c>
      <c r="E37" s="22">
        <v>-22390883.413785618</v>
      </c>
      <c r="F37" s="22">
        <f>(E37/dane!$B$8)*dane!$L$31</f>
        <v>-136840.28463453552</v>
      </c>
      <c r="G37" s="22">
        <f xml:space="preserve"> B37*dane!$B$10</f>
        <v>-32.64947501159736</v>
      </c>
    </row>
    <row r="38" spans="1:7">
      <c r="A38" s="22">
        <v>1.1099999999999966E-2</v>
      </c>
      <c r="B38" s="22">
        <v>-3.7199290872448547E-2</v>
      </c>
      <c r="C38" s="22">
        <v>1.1097146174806691</v>
      </c>
      <c r="D38" s="22">
        <v>98.010609073481675</v>
      </c>
      <c r="E38" s="22">
        <v>-22355115.824815273</v>
      </c>
      <c r="F38" s="22">
        <f>(E38/dane!$B$8)*dane!$L$31</f>
        <v>-136621.69356937104</v>
      </c>
      <c r="G38" s="22">
        <f xml:space="preserve"> B38*dane!$B$10</f>
        <v>-32.363383059030234</v>
      </c>
    </row>
    <row r="39" spans="1:7">
      <c r="A39" s="22">
        <v>1.1399999999999959E-2</v>
      </c>
      <c r="B39" s="22">
        <v>-3.6861629725623658E-2</v>
      </c>
      <c r="C39" s="22">
        <v>1.1390918924158073</v>
      </c>
      <c r="D39" s="22">
        <v>97.849579581204665</v>
      </c>
      <c r="E39" s="22">
        <v>-22318386.811649315</v>
      </c>
      <c r="F39" s="22">
        <f>(E39/dane!$B$8)*dane!$L$31</f>
        <v>-136397.22682890826</v>
      </c>
      <c r="G39" s="22">
        <f xml:space="preserve"> B39*dane!$B$10</f>
        <v>-32.069617861292585</v>
      </c>
    </row>
    <row r="40" spans="1:7">
      <c r="A40" s="22">
        <v>1.1699999999999952E-2</v>
      </c>
      <c r="B40" s="22">
        <v>-3.6515163278522313E-2</v>
      </c>
      <c r="C40" s="22">
        <v>1.1684201785416288</v>
      </c>
      <c r="D40" s="22">
        <v>97.684341881997454</v>
      </c>
      <c r="E40" s="22">
        <v>-22280697.953888685</v>
      </c>
      <c r="F40" s="22">
        <f>(E40/dane!$B$8)*dane!$L$31</f>
        <v>-136166.89406676541</v>
      </c>
      <c r="G40" s="22">
        <f xml:space="preserve"> B40*dane!$B$10</f>
        <v>-31.768192052314411</v>
      </c>
    </row>
    <row r="41" spans="1:7">
      <c r="A41" s="22">
        <v>1.1999999999999945E-2</v>
      </c>
      <c r="B41" s="22">
        <v>-3.6159906431591803E-2</v>
      </c>
      <c r="C41" s="22">
        <v>1.197698214539511</v>
      </c>
      <c r="D41" s="22">
        <v>97.514903082220968</v>
      </c>
      <c r="E41" s="22">
        <v>-22242050.872414257</v>
      </c>
      <c r="F41" s="22">
        <f>(E41/dane!$B$8)*dane!$L$31</f>
        <v>-135930.70518884028</v>
      </c>
      <c r="G41" s="22">
        <f xml:space="preserve"> B41*dane!$B$10</f>
        <v>-31.459118595484867</v>
      </c>
    </row>
    <row r="42" spans="1:7">
      <c r="A42" s="22">
        <v>1.2299999999999938E-2</v>
      </c>
      <c r="B42" s="22">
        <v>-3.579587446332725E-2</v>
      </c>
      <c r="C42" s="22">
        <v>1.2269247412519337</v>
      </c>
      <c r="D42" s="22">
        <v>97.341270468912455</v>
      </c>
      <c r="E42" s="22">
        <v>-22202447.22931714</v>
      </c>
      <c r="F42" s="22">
        <f>(E42/dane!$B$8)*dane!$L$31</f>
        <v>-135688.6703528839</v>
      </c>
      <c r="G42" s="22">
        <f xml:space="preserve"> B42*dane!$B$10</f>
        <v>-31.142410783094707</v>
      </c>
    </row>
    <row r="43" spans="1:7">
      <c r="A43" s="22">
        <v>1.2599999999999931E-2</v>
      </c>
      <c r="B43" s="22">
        <v>-3.5423083029614555E-2</v>
      </c>
      <c r="C43" s="22">
        <v>1.2560985017366313</v>
      </c>
      <c r="D43" s="22">
        <v>97.163451509472068</v>
      </c>
      <c r="E43" s="22">
        <v>-22161888.727827188</v>
      </c>
      <c r="F43" s="22">
        <f>(E43/dane!$B$8)*dane!$L$31</f>
        <v>-135440.79996806389</v>
      </c>
      <c r="G43" s="22">
        <f xml:space="preserve"> B43*dane!$B$10</f>
        <v>-30.818082235764663</v>
      </c>
    </row>
    <row r="44" spans="1:7">
      <c r="A44" s="22">
        <v>1.2899999999999924E-2</v>
      </c>
      <c r="B44" s="22">
        <v>-3.5041548163057053E-2</v>
      </c>
      <c r="C44" s="22">
        <v>1.285218241320649</v>
      </c>
      <c r="D44" s="22">
        <v>96.98145385134174</v>
      </c>
      <c r="E44" s="22">
        <v>-22120377.112239756</v>
      </c>
      <c r="F44" s="22">
        <f>(E44/dane!$B$8)*dane!$L$31</f>
        <v>-135187.10469451669</v>
      </c>
      <c r="G44" s="22">
        <f xml:space="preserve"> B44*dane!$B$10</f>
        <v>-30.486146901859637</v>
      </c>
    </row>
    <row r="45" spans="1:7">
      <c r="A45" s="22">
        <v>1.3199999999999917E-2</v>
      </c>
      <c r="B45" s="22">
        <v>-3.4651286272285961E-2</v>
      </c>
      <c r="C45" s="22">
        <v>1.3142827076543051</v>
      </c>
      <c r="D45" s="22">
        <v>96.795285321676303</v>
      </c>
      <c r="E45" s="22">
        <v>-22077914.167840682</v>
      </c>
      <c r="F45" s="22">
        <f>(E45/dane!$B$8)*dane!$L$31</f>
        <v>-134927.5954428892</v>
      </c>
      <c r="G45" s="22">
        <f xml:space="preserve"> B45*dane!$B$10</f>
        <v>-30.146619056888785</v>
      </c>
    </row>
    <row r="46" spans="1:7">
      <c r="A46" s="22">
        <v>1.349999999999991E-2</v>
      </c>
      <c r="B46" s="22">
        <v>-3.4252314141254805E-2</v>
      </c>
      <c r="C46" s="22">
        <v>1.3432906507650488</v>
      </c>
      <c r="D46" s="22">
        <v>96.604953927006747</v>
      </c>
      <c r="E46" s="22">
        <v>-22034501.720829498</v>
      </c>
      <c r="F46" s="22">
        <f>(E46/dane!$B$8)*dane!$L$31</f>
        <v>-134662.28337386943</v>
      </c>
      <c r="G46" s="22">
        <f xml:space="preserve"> B46*dane!$B$10</f>
        <v>-29.799513302891679</v>
      </c>
    </row>
    <row r="47" spans="1:7">
      <c r="A47" s="22">
        <v>1.3799999999999903E-2</v>
      </c>
      <c r="B47" s="22">
        <v>-3.3844648928517497E-2</v>
      </c>
      <c r="C47" s="22">
        <v>1.3722408231112164</v>
      </c>
      <c r="D47" s="22">
        <v>96.410467852896076</v>
      </c>
      <c r="E47" s="22">
        <v>-21990141.638240907</v>
      </c>
      <c r="F47" s="22">
        <f>(E47/dane!$B$8)*dane!$L$31</f>
        <v>-134391.17989770658</v>
      </c>
      <c r="G47" s="22">
        <f xml:space="preserve"> B47*dane!$B$10</f>
        <v>-29.444844567810222</v>
      </c>
    </row>
    <row r="48" spans="1:7">
      <c r="A48" s="22">
        <v>1.4099999999999896E-2</v>
      </c>
      <c r="B48" s="22">
        <v>-3.3428308166490436E-2</v>
      </c>
      <c r="C48" s="22">
        <v>1.4011319796356863</v>
      </c>
      <c r="D48" s="22">
        <v>96.211835463587107</v>
      </c>
      <c r="E48" s="22">
        <v>-21944835.827864476</v>
      </c>
      <c r="F48" s="22">
        <f>(E48/dane!$B$8)*dane!$L$31</f>
        <v>-134114.29667372032</v>
      </c>
      <c r="G48" s="22">
        <f xml:space="preserve"> B48*dane!$B$10</f>
        <v>-29.08262810484668</v>
      </c>
    </row>
    <row r="49" spans="1:7">
      <c r="A49" s="22">
        <v>1.4399999999999889E-2</v>
      </c>
      <c r="B49" s="22">
        <v>-3.3003309760698485E-2</v>
      </c>
      <c r="C49" s="22">
        <v>1.4299628778194244</v>
      </c>
      <c r="D49" s="22">
        <v>96.009065301642849</v>
      </c>
      <c r="E49" s="22">
        <v>-21898586.238162588</v>
      </c>
      <c r="F49" s="22">
        <f>(E49/dane!$B$8)*dane!$L$31</f>
        <v>-133831.64560979937</v>
      </c>
      <c r="G49" s="22">
        <f xml:space="preserve"> B49*dane!$B$10</f>
        <v>-28.712879491807684</v>
      </c>
    </row>
    <row r="50" spans="1:7">
      <c r="A50" s="22">
        <v>1.4699999999999882E-2</v>
      </c>
      <c r="B50" s="22">
        <v>-3.2569671989004893E-2</v>
      </c>
      <c r="C50" s="22">
        <v>1.458732277734921</v>
      </c>
      <c r="D50" s="22">
        <v>95.802166087579025</v>
      </c>
      <c r="E50" s="22">
        <v>-21851394.858186647</v>
      </c>
      <c r="F50" s="22">
        <f>(E50/dane!$B$8)*dane!$L$31</f>
        <v>-133543.23886188926</v>
      </c>
      <c r="G50" s="22">
        <f xml:space="preserve"> B50*dane!$B$10</f>
        <v>-28.335614630434257</v>
      </c>
    </row>
    <row r="51" spans="1:7">
      <c r="A51" s="22">
        <v>1.4999999999999875E-2</v>
      </c>
      <c r="B51" s="22">
        <v>-3.2127413500825285E-2</v>
      </c>
      <c r="C51" s="22">
        <v>1.487438942099516</v>
      </c>
      <c r="D51" s="22">
        <v>95.591146719489132</v>
      </c>
      <c r="E51" s="22">
        <v>-21803263.717491541</v>
      </c>
      <c r="F51" s="22">
        <f>(E51/dane!$B$8)*dane!$L$31</f>
        <v>-133249.08883346972</v>
      </c>
      <c r="G51" s="22">
        <f xml:space="preserve"> B51*dane!$B$10</f>
        <v>-27.950849745717999</v>
      </c>
    </row>
    <row r="52" spans="1:7">
      <c r="A52" s="22">
        <v>1.5299999999999868E-2</v>
      </c>
      <c r="B52" s="22">
        <v>-3.1676553316325538E-2</v>
      </c>
      <c r="C52" s="22">
        <v>1.5160816363286109</v>
      </c>
      <c r="D52" s="22">
        <v>95.376016272661715</v>
      </c>
      <c r="E52" s="22">
        <v>-21754194.88604835</v>
      </c>
      <c r="F52" s="22">
        <f>(E52/dane!$B$8)*dane!$L$31</f>
        <v>-132949.20817502119</v>
      </c>
      <c r="G52" s="22">
        <f xml:space="preserve"> B52*dane!$B$10</f>
        <v>-27.558601385203218</v>
      </c>
    </row>
    <row r="53" spans="1:7">
      <c r="A53" s="22">
        <v>1.5599999999999861E-2</v>
      </c>
      <c r="B53" s="22">
        <v>-3.12171108256038E-2</v>
      </c>
      <c r="C53" s="22">
        <v>1.5446591285887645</v>
      </c>
      <c r="D53" s="22">
        <v>95.156783999190054</v>
      </c>
      <c r="E53" s="22">
        <v>-21704190.474155325</v>
      </c>
      <c r="F53" s="22">
        <f>(E53/dane!$B$8)*dane!$L$31</f>
        <v>-132643.6097834807</v>
      </c>
      <c r="G53" s="22">
        <f xml:space="preserve"> B53*dane!$B$10</f>
        <v>-27.158886418275305</v>
      </c>
    </row>
    <row r="54" spans="1:7">
      <c r="A54" s="22">
        <v>1.5899999999999873E-2</v>
      </c>
      <c r="B54" s="22">
        <v>-3.0749105787856605E-2</v>
      </c>
      <c r="C54" s="22">
        <v>1.5731701898506698</v>
      </c>
      <c r="D54" s="22">
        <v>94.933459327574226</v>
      </c>
      <c r="E54" s="22">
        <v>-21653252.632347122</v>
      </c>
      <c r="F54" s="22">
        <f>(E54/dane!$B$8)*dane!$L$31</f>
        <v>-132332.30680168714</v>
      </c>
      <c r="G54" s="22">
        <f xml:space="preserve"> B54*dane!$B$10</f>
        <v>-26.751722035435247</v>
      </c>
    </row>
    <row r="55" spans="1:7">
      <c r="A55" s="22">
        <v>1.6199999999999888E-2</v>
      </c>
      <c r="B55" s="22">
        <v>-3.0272558330529078E-2</v>
      </c>
      <c r="C55" s="22">
        <v>1.6016135939420109</v>
      </c>
      <c r="D55" s="22">
        <v>94.706051862315746</v>
      </c>
      <c r="E55" s="22">
        <v>-21601383.55130234</v>
      </c>
      <c r="F55" s="22">
        <f>(E55/dane!$B$8)*dane!$L$31</f>
        <v>-132015.31261781629</v>
      </c>
      <c r="G55" s="22">
        <f xml:space="preserve"> B55*dane!$B$10</f>
        <v>-26.337125747560297</v>
      </c>
    </row>
    <row r="56" spans="1:7">
      <c r="A56" s="22">
        <v>1.6499999999999904E-2</v>
      </c>
      <c r="B56" s="22">
        <v>-2.9787488948449313E-2</v>
      </c>
      <c r="C56" s="22">
        <v>1.6299881176001971</v>
      </c>
      <c r="D56" s="22">
        <v>94.474571383504355</v>
      </c>
      <c r="E56" s="22">
        <v>-21548585.461749271</v>
      </c>
      <c r="F56" s="22">
        <f>(E56/dane!$B$8)*dane!$L$31</f>
        <v>-131692.64086480482</v>
      </c>
      <c r="G56" s="22">
        <f xml:space="preserve"> B56*dane!$B$10</f>
        <v>-25.915115385150902</v>
      </c>
    </row>
    <row r="57" spans="1:7">
      <c r="A57" s="22">
        <v>1.6799999999999919E-2</v>
      </c>
      <c r="B57" s="22">
        <v>-2.929391850294695E-2</v>
      </c>
      <c r="C57" s="22">
        <v>1.6582925405249718</v>
      </c>
      <c r="D57" s="22">
        <v>94.239027846397477</v>
      </c>
      <c r="E57" s="22">
        <v>-21494860.634369992</v>
      </c>
      <c r="F57" s="22">
        <f>(E57/dane!$B$8)*dane!$L$31</f>
        <v>-131364.30541976404</v>
      </c>
      <c r="G57" s="22">
        <f xml:space="preserve"> B57*dane!$B$10</f>
        <v>-25.485709097563845</v>
      </c>
    </row>
    <row r="58" spans="1:7">
      <c r="A58" s="22">
        <v>1.7099999999999935E-2</v>
      </c>
      <c r="B58" s="22">
        <v>-2.8791868220956012E-2</v>
      </c>
      <c r="C58" s="22">
        <v>1.686525645430893</v>
      </c>
      <c r="D58" s="22">
        <v>93.999431380992092</v>
      </c>
      <c r="E58" s="22">
        <v>-21440211.379702695</v>
      </c>
      <c r="F58" s="22">
        <f>(E58/dane!$B$8)*dane!$L$31</f>
        <v>-131030.32040338306</v>
      </c>
      <c r="G58" s="22">
        <f xml:space="preserve"> B58*dane!$B$10</f>
        <v>-25.048925352231731</v>
      </c>
    </row>
    <row r="59" spans="1:7">
      <c r="A59" s="22">
        <v>1.739999999999995E-2</v>
      </c>
      <c r="B59" s="22">
        <v>-2.828135969410198E-2</v>
      </c>
      <c r="C59" s="22">
        <v>1.7146862180996856</v>
      </c>
      <c r="D59" s="22">
        <v>93.755792291589074</v>
      </c>
      <c r="E59" s="22">
        <v>-21384640.048042327</v>
      </c>
      <c r="F59" s="22">
        <f>(E59/dane!$B$8)*dane!$L$31</f>
        <v>-130690.70017932155</v>
      </c>
      <c r="G59" s="22">
        <f xml:space="preserve"> B59*dane!$B$10</f>
        <v>-24.604782933868723</v>
      </c>
    </row>
    <row r="60" spans="1:7">
      <c r="A60" s="22">
        <v>1.7699999999999966E-2</v>
      </c>
      <c r="B60" s="22">
        <v>-2.7762414877773218E-2</v>
      </c>
      <c r="C60" s="22">
        <v>1.7427730474324616</v>
      </c>
      <c r="D60" s="22">
        <v>93.508121056349992</v>
      </c>
      <c r="E60" s="22">
        <v>-21328149.029339507</v>
      </c>
      <c r="F60" s="22">
        <f>(E60/dane!$B$8)*dane!$L$31</f>
        <v>-130345.45935359201</v>
      </c>
      <c r="G60" s="22">
        <f xml:space="preserve"> B60*dane!$B$10</f>
        <v>-24.1533009436627</v>
      </c>
    </row>
    <row r="61" spans="1:7">
      <c r="A61" s="22">
        <v>1.7999999999999981E-2</v>
      </c>
      <c r="B61" s="22">
        <v>-2.7235056090176731E-2</v>
      </c>
      <c r="C61" s="22">
        <v>1.7707849255018049</v>
      </c>
      <c r="D61" s="22">
        <v>93.256428326846489</v>
      </c>
      <c r="E61" s="22">
        <v>-21270740.753097735</v>
      </c>
      <c r="F61" s="22">
        <f>(E61/dane!$B$8)*dane!$L$31</f>
        <v>-129994.61277393159</v>
      </c>
      <c r="G61" s="22">
        <f xml:space="preserve"> B61*dane!$B$10</f>
        <v>-23.694498798453758</v>
      </c>
    </row>
    <row r="62" spans="1:7">
      <c r="A62" s="22">
        <v>1.8299999999999997E-2</v>
      </c>
      <c r="B62" s="22">
        <v>-2.6699306011378321E-2</v>
      </c>
      <c r="C62" s="22">
        <v>1.7987206476037199</v>
      </c>
      <c r="D62" s="22">
        <v>93.000724927602221</v>
      </c>
      <c r="E62" s="22">
        <v>-21212417.688268919</v>
      </c>
      <c r="F62" s="22">
        <f>(E62/dane!$B$8)*dane!$L$31</f>
        <v>-129638.17552916348</v>
      </c>
      <c r="G62" s="22">
        <f xml:space="preserve"> B62*dane!$B$10</f>
        <v>-23.22839622989914</v>
      </c>
    </row>
    <row r="63" spans="1:7">
      <c r="A63" s="22">
        <v>1.8600000000000012E-2</v>
      </c>
      <c r="B63" s="22">
        <v>-2.6155187682327222E-2</v>
      </c>
      <c r="C63" s="22">
        <v>1.8265790123094441</v>
      </c>
      <c r="D63" s="22">
        <v>92.741021855627295</v>
      </c>
      <c r="E63" s="22">
        <v>-21153182.343147177</v>
      </c>
      <c r="F63" s="22">
        <f>(E63/dane!$B$8)*dane!$L$31</f>
        <v>-129276.16294854804</v>
      </c>
      <c r="G63" s="22">
        <f xml:space="preserve"> B63*dane!$B$10</f>
        <v>-22.755013283624685</v>
      </c>
    </row>
    <row r="64" spans="1:7">
      <c r="A64" s="22">
        <v>1.8900000000000028E-2</v>
      </c>
      <c r="B64" s="22">
        <v>-2.5602724503865144E-2</v>
      </c>
      <c r="C64" s="22">
        <v>1.8543588215171161</v>
      </c>
      <c r="D64" s="22">
        <v>92.477330279945392</v>
      </c>
      <c r="E64" s="22">
        <v>-21093037.265260991</v>
      </c>
      <c r="F64" s="22">
        <f>(E64/dane!$B$8)*dane!$L$31</f>
        <v>-128908.59060112361</v>
      </c>
      <c r="G64" s="22">
        <f xml:space="preserve"> B64*dane!$B$10</f>
        <v>-22.274370318362674</v>
      </c>
    </row>
    <row r="65" spans="1:7">
      <c r="A65" s="22">
        <v>1.9200000000000043E-2</v>
      </c>
      <c r="B65" s="22">
        <v>-2.504194023571988E-2</v>
      </c>
      <c r="C65" s="22">
        <v>1.8820588805033029</v>
      </c>
      <c r="D65" s="22">
        <v>92.209661541113263</v>
      </c>
      <c r="E65" s="22">
        <v>-21031985.041263606</v>
      </c>
      <c r="F65" s="22">
        <f>(E65/dane!$B$8)*dane!$L$31</f>
        <v>-128535.47429503672</v>
      </c>
      <c r="G65" s="22">
        <f xml:space="preserve"> B65*dane!$B$10</f>
        <v>-21.786488005076297</v>
      </c>
    </row>
    <row r="66" spans="1:7">
      <c r="A66" s="22">
        <v>1.9500000000000059E-2</v>
      </c>
      <c r="B66" s="22">
        <v>-2.4472858995483494E-2</v>
      </c>
      <c r="C66" s="22">
        <v>1.9096779979743814</v>
      </c>
      <c r="D66" s="22">
        <v>91.938027150733205</v>
      </c>
      <c r="E66" s="22">
        <v>-20970028.296821821</v>
      </c>
      <c r="F66" s="22">
        <f>(E66/dane!$B$8)*dane!$L$31</f>
        <v>-128156.8300768625</v>
      </c>
      <c r="G66" s="22">
        <f xml:space="preserve"> B66*dane!$B$10</f>
        <v>-21.291387326070641</v>
      </c>
    </row>
    <row r="67" spans="1:7">
      <c r="A67" s="22">
        <v>1.9800000000000074E-2</v>
      </c>
      <c r="B67" s="22">
        <v>-2.3895505257575084E-2</v>
      </c>
      <c r="C67" s="22">
        <v>1.9372149861177719</v>
      </c>
      <c r="D67" s="22">
        <v>91.662438790957864</v>
      </c>
      <c r="E67" s="22">
        <v>-20907169.696503058</v>
      </c>
      <c r="F67" s="22">
        <f>(E67/dane!$B$8)*dane!$L$31</f>
        <v>-127772.67423091442</v>
      </c>
      <c r="G67" s="22">
        <f xml:space="preserve"> B67*dane!$B$10</f>
        <v>-20.789089574090323</v>
      </c>
    </row>
    <row r="68" spans="1:7">
      <c r="A68" s="22">
        <v>2.010000000000009E-2</v>
      </c>
      <c r="B68" s="22">
        <v>-2.3309903852188205E-2</v>
      </c>
      <c r="C68" s="22">
        <v>1.9646686606530217</v>
      </c>
      <c r="D68" s="22">
        <v>91.382908313987812</v>
      </c>
      <c r="E68" s="22">
        <v>-20843411.943660747</v>
      </c>
      <c r="F68" s="22">
        <f>(E68/dane!$B$8)*dane!$L$31</f>
        <v>-127383.02327854384</v>
      </c>
      <c r="G68" s="22">
        <f xml:space="preserve"> B68*dane!$B$10</f>
        <v>-20.279616351403739</v>
      </c>
    </row>
    <row r="69" spans="1:7">
      <c r="A69" s="22">
        <v>2.0400000000000106E-2</v>
      </c>
      <c r="B69" s="22">
        <v>-2.2716079964223028E-2</v>
      </c>
      <c r="C69" s="22">
        <v>1.9920378408827391</v>
      </c>
      <c r="D69" s="22">
        <v>91.099447741561889</v>
      </c>
      <c r="E69" s="22">
        <v>-20778757.780318093</v>
      </c>
      <c r="F69" s="22">
        <f>(E69/dane!$B$8)*dane!$L$31</f>
        <v>-126987.89397742972</v>
      </c>
      <c r="G69" s="22">
        <f xml:space="preserve"> B69*dane!$B$10</f>
        <v>-19.762989568874033</v>
      </c>
    </row>
    <row r="70" spans="1:7">
      <c r="A70" s="22">
        <v>2.0700000000000121E-2</v>
      </c>
      <c r="B70" s="22">
        <v>-2.2114059132203184E-2</v>
      </c>
      <c r="C70" s="22">
        <v>2.01932134974337</v>
      </c>
      <c r="D70" s="22">
        <v>90.812069264440154</v>
      </c>
      <c r="E70" s="22">
        <v>-20713209.987050131</v>
      </c>
      <c r="F70" s="22">
        <f>(E70/dane!$B$8)*dane!$L$31</f>
        <v>-126587.3033208578</v>
      </c>
      <c r="G70" s="22">
        <f xml:space="preserve"> B70*dane!$B$10</f>
        <v>-19.23923144501677</v>
      </c>
    </row>
    <row r="71" spans="1:7">
      <c r="A71" s="22">
        <v>2.1000000000000137E-2</v>
      </c>
      <c r="B71" s="22">
        <v>-2.1503867247177445E-2</v>
      </c>
      <c r="C71" s="22">
        <v>2.0465180138558199</v>
      </c>
      <c r="D71" s="22">
        <v>90.520785241879565</v>
      </c>
      <c r="E71" s="22">
        <v>-20646771.382864151</v>
      </c>
      <c r="F71" s="22">
        <f>(E71/dane!$B$8)*dane!$L$31</f>
        <v>-126181.26853698978</v>
      </c>
      <c r="G71" s="22">
        <f xml:space="preserve"> B71*dane!$B$10</f>
        <v>-18.708364505044376</v>
      </c>
    </row>
    <row r="72" spans="1:7">
      <c r="A72" s="22">
        <v>2.1300000000000152E-2</v>
      </c>
      <c r="B72" s="22">
        <v>-2.0885530551606225E-2</v>
      </c>
      <c r="C72" s="22">
        <v>2.0736266635759169</v>
      </c>
      <c r="D72" s="22">
        <v>90.225608201102503</v>
      </c>
      <c r="E72" s="22">
        <v>-20579444.82507845</v>
      </c>
      <c r="F72" s="22">
        <f>(E72/dane!$B$8)*dane!$L$31</f>
        <v>-125769.80708812231</v>
      </c>
      <c r="G72" s="22">
        <f xml:space="preserve"> B72*dane!$B$10</f>
        <v>-18.170411579897415</v>
      </c>
    </row>
    <row r="73" spans="1:7">
      <c r="A73" s="22">
        <v>2.1600000000000168E-2</v>
      </c>
      <c r="B73" s="22">
        <v>-2.0259075638232989E-2</v>
      </c>
      <c r="C73" s="22">
        <v>2.1006461330447181</v>
      </c>
      <c r="D73" s="22">
        <v>89.926550836757983</v>
      </c>
      <c r="E73" s="22">
        <v>-20511233.209199466</v>
      </c>
      <c r="F73" s="22">
        <f>(E73/dane!$B$8)*dane!$L$31</f>
        <v>-125352.93666993619</v>
      </c>
      <c r="G73" s="22">
        <f xml:space="preserve"> B73*dane!$B$10</f>
        <v>-17.625395805262698</v>
      </c>
    </row>
    <row r="74" spans="1:7">
      <c r="A74" s="22">
        <v>2.1900000000000183E-2</v>
      </c>
      <c r="B74" s="22">
        <v>-1.962452944894057E-2</v>
      </c>
      <c r="C74" s="22">
        <v>2.1275752602386437</v>
      </c>
      <c r="D74" s="22">
        <v>89.623626010375673</v>
      </c>
      <c r="E74" s="22">
        <v>-20442139.468797226</v>
      </c>
      <c r="F74" s="22">
        <f>(E74/dane!$B$8)*dane!$L$31</f>
        <v>-124930.67521073503</v>
      </c>
      <c r="G74" s="22">
        <f xml:space="preserve"> B74*dane!$B$10</f>
        <v>-17.073340620578296</v>
      </c>
    </row>
    <row r="75" spans="1:7">
      <c r="A75" s="22">
        <v>2.2200000000000199E-2</v>
      </c>
      <c r="B75" s="22">
        <v>-1.8981919273592478E-2</v>
      </c>
      <c r="C75" s="22">
        <v>2.1544128870194559</v>
      </c>
      <c r="D75" s="22">
        <v>89.316846749812839</v>
      </c>
      <c r="E75" s="22">
        <v>-20372166.575379211</v>
      </c>
      <c r="F75" s="22">
        <f>(E75/dane!$B$8)*dane!$L$31</f>
        <v>-124503.04087067468</v>
      </c>
      <c r="G75" s="22">
        <f xml:space="preserve"> B75*dane!$B$10</f>
        <v>-16.514269768025457</v>
      </c>
    </row>
    <row r="76" spans="1:7">
      <c r="A76" s="22">
        <v>2.2500000000000214E-2</v>
      </c>
      <c r="B76" s="22">
        <v>-1.8331272748859248E-2</v>
      </c>
      <c r="C76" s="22">
        <v>2.1811578591840637</v>
      </c>
      <c r="D76" s="22">
        <v>89.006226248693991</v>
      </c>
      <c r="E76" s="22">
        <v>-20301317.538262546</v>
      </c>
      <c r="F76" s="22">
        <f>(E76/dane!$B$8)*dane!$L$31</f>
        <v>-124070.05204098167</v>
      </c>
      <c r="G76" s="22">
        <f xml:space="preserve"> B76*dane!$B$10</f>
        <v>-15.948207291507545</v>
      </c>
    </row>
    <row r="77" spans="1:7">
      <c r="A77" s="22">
        <v>2.280000000000023E-2</v>
      </c>
      <c r="B77" s="22">
        <v>-1.767261785702989E-2</v>
      </c>
      <c r="C77" s="22">
        <v>2.2078090265141679</v>
      </c>
      <c r="D77" s="22">
        <v>88.691777865843434</v>
      </c>
      <c r="E77" s="22">
        <v>-20229595.404444564</v>
      </c>
      <c r="F77" s="22">
        <f>(E77/dane!$B$8)*dane!$L$31</f>
        <v>-123631.72734316265</v>
      </c>
      <c r="G77" s="22">
        <f xml:space="preserve"> B77*dane!$B$10</f>
        <v>-15.375177535616004</v>
      </c>
    </row>
    <row r="78" spans="1:7">
      <c r="A78" s="22">
        <v>2.3100000000000245E-2</v>
      </c>
      <c r="B78" s="22">
        <v>-1.700598292480842E-2</v>
      </c>
      <c r="C78" s="22">
        <v>2.2343652428257217</v>
      </c>
      <c r="D78" s="22">
        <v>88.373515124710835</v>
      </c>
      <c r="E78" s="22">
        <v>-20157003.258471794</v>
      </c>
      <c r="F78" s="22">
        <f>(E78/dane!$B$8)*dane!$L$31</f>
        <v>-123188.08562820335</v>
      </c>
      <c r="G78" s="22">
        <f xml:space="preserve"> B78*dane!$B$10</f>
        <v>-14.795205144583326</v>
      </c>
    </row>
    <row r="79" spans="1:7">
      <c r="A79" s="22">
        <v>2.3400000000000261E-2</v>
      </c>
      <c r="B79" s="22">
        <v>-1.6331396622095672E-2</v>
      </c>
      <c r="C79" s="22">
        <v>2.2608253660182274</v>
      </c>
      <c r="D79" s="22">
        <v>88.0514517127896</v>
      </c>
      <c r="E79" s="22">
        <v>-20083544.222307283</v>
      </c>
      <c r="F79" s="22">
        <f>(E79/dane!$B$8)*dane!$L$31</f>
        <v>-122739.14597575794</v>
      </c>
      <c r="G79" s="22">
        <f xml:space="preserve"> B79*dane!$B$10</f>
        <v>-14.208315061223235</v>
      </c>
    </row>
    <row r="80" spans="1:7">
      <c r="A80" s="22">
        <v>2.3700000000000276E-2</v>
      </c>
      <c r="B80" s="22">
        <v>-1.5648887960756232E-2</v>
      </c>
      <c r="C80" s="22">
        <v>2.2871882581238543</v>
      </c>
      <c r="D80" s="22">
        <v>87.725601481028164</v>
      </c>
      <c r="E80" s="22">
        <v>-20009221.455196343</v>
      </c>
      <c r="F80" s="22">
        <f>(E80/dane!$B$8)*dane!$L$31</f>
        <v>-122284.92769332851</v>
      </c>
      <c r="G80" s="22">
        <f xml:space="preserve"> B80*dane!$B$10</f>
        <v>-13.614532525857921</v>
      </c>
    </row>
    <row r="81" spans="1:7">
      <c r="A81" s="22">
        <v>2.4000000000000292E-2</v>
      </c>
      <c r="B81" s="22">
        <v>-1.4958486293370791E-2</v>
      </c>
      <c r="C81" s="22">
        <v>2.3134527853563789</v>
      </c>
      <c r="D81" s="22">
        <v>87.395978443234313</v>
      </c>
      <c r="E81" s="22">
        <v>-19934038.153530661</v>
      </c>
      <c r="F81" s="22">
        <f>(E81/dane!$B$8)*dane!$L$31</f>
        <v>-121825.45031543454</v>
      </c>
      <c r="G81" s="22">
        <f xml:space="preserve"> B81*dane!$B$10</f>
        <v>-13.013883075232588</v>
      </c>
    </row>
    <row r="82" spans="1:7">
      <c r="A82" s="22">
        <v>2.4300000000000307E-2</v>
      </c>
      <c r="B82" s="22">
        <v>-1.4260221311973726E-2</v>
      </c>
      <c r="C82" s="22">
        <v>2.3396178181599474</v>
      </c>
      <c r="D82" s="22">
        <v>87.062596775472613</v>
      </c>
      <c r="E82" s="22">
        <v>-19857997.550710864</v>
      </c>
      <c r="F82" s="22">
        <f>(E82/dane!$B$8)*dane!$L$31</f>
        <v>-121360.73360277296</v>
      </c>
      <c r="G82" s="22">
        <f xml:space="preserve"> B82*dane!$B$10</f>
        <v>-12.406392541417143</v>
      </c>
    </row>
    <row r="83" spans="1:7">
      <c r="A83" s="22">
        <v>2.4600000000000323E-2</v>
      </c>
      <c r="B83" s="22">
        <v>-1.3554123046776166E-2</v>
      </c>
      <c r="C83" s="22">
        <v>2.3656822312576513</v>
      </c>
      <c r="D83" s="22">
        <v>86.725470815454543</v>
      </c>
      <c r="E83" s="22">
        <v>-19781102.917007428</v>
      </c>
      <c r="F83" s="22">
        <f>(E83/dane!$B$8)*dane!$L$31</f>
        <v>-120890.79754136826</v>
      </c>
      <c r="G83" s="22">
        <f xml:space="preserve"> B83*dane!$B$10</f>
        <v>-11.792087050695264</v>
      </c>
    </row>
    <row r="84" spans="1:7">
      <c r="A84" s="22">
        <v>2.4900000000000339E-2</v>
      </c>
      <c r="B84" s="22">
        <v>-1.2840221864874482E-2</v>
      </c>
      <c r="C84" s="22">
        <v>2.3916449036999237</v>
      </c>
      <c r="D84" s="22">
        <v>86.384615061922034</v>
      </c>
      <c r="E84" s="22">
        <v>-19703357.559420057</v>
      </c>
      <c r="F84" s="22">
        <f>(E84/dane!$B$8)*dane!$L$31</f>
        <v>-120415.66234171286</v>
      </c>
      <c r="G84" s="22">
        <f xml:space="preserve"> B84*dane!$B$10</f>
        <v>-11.170993022440799</v>
      </c>
    </row>
    <row r="85" spans="1:7">
      <c r="A85" s="22">
        <v>2.5200000000000354E-2</v>
      </c>
      <c r="B85" s="22">
        <v>-1.2118548468944286E-2</v>
      </c>
      <c r="C85" s="22">
        <v>2.4175047189127477</v>
      </c>
      <c r="D85" s="22">
        <v>86.040044174023876</v>
      </c>
      <c r="E85" s="22">
        <v>-19624764.821535449</v>
      </c>
      <c r="F85" s="22">
        <f>(E85/dane!$B$8)*dane!$L$31</f>
        <v>-119935.34843789809</v>
      </c>
      <c r="G85" s="22">
        <f xml:space="preserve"> B85*dane!$B$10</f>
        <v>-10.543137167981529</v>
      </c>
    </row>
    <row r="86" spans="1:7">
      <c r="A86" s="22">
        <v>2.550000000000037E-2</v>
      </c>
      <c r="B86" s="22">
        <v>-1.1389133895920027E-2</v>
      </c>
      <c r="C86" s="22">
        <v>2.4432605647456782</v>
      </c>
      <c r="D86" s="22">
        <v>85.691772970685193</v>
      </c>
      <c r="E86" s="22">
        <v>-19545328.083383493</v>
      </c>
      <c r="F86" s="22">
        <f>(E86/dane!$B$8)*dane!$L$31</f>
        <v>-119449.87648673513</v>
      </c>
      <c r="G86" s="22">
        <f xml:space="preserve"> B86*dane!$B$10</f>
        <v>-9.9085464894504227</v>
      </c>
    </row>
    <row r="87" spans="1:7">
      <c r="A87" s="22">
        <v>2.5800000000000385E-2</v>
      </c>
      <c r="B87" s="22">
        <v>-1.0652009515660149E-2</v>
      </c>
      <c r="C87" s="22">
        <v>2.4689113335196677</v>
      </c>
      <c r="D87" s="22">
        <v>85.339816429970313</v>
      </c>
      <c r="E87" s="22">
        <v>-19465050.761291929</v>
      </c>
      <c r="F87" s="22">
        <f>(E87/dane!$B$8)*dane!$L$31</f>
        <v>-118959.26736686694</v>
      </c>
      <c r="G87" s="22">
        <f xml:space="preserve"> B87*dane!$B$10</f>
        <v>-9.2672482786243293</v>
      </c>
    </row>
    <row r="88" spans="1:7">
      <c r="A88" s="22">
        <v>2.6100000000000401E-2</v>
      </c>
      <c r="B88" s="22">
        <v>-9.9072070295980058E-3</v>
      </c>
      <c r="C88" s="22">
        <v>2.4944559220747098</v>
      </c>
      <c r="D88" s="22">
        <v>84.984189688438406</v>
      </c>
      <c r="E88" s="22">
        <v>-19383936.307739384</v>
      </c>
      <c r="F88" s="22">
        <f>(E88/dane!$B$8)*dane!$L$31</f>
        <v>-118463.54217787013</v>
      </c>
      <c r="G88" s="22">
        <f xml:space="preserve"> B88*dane!$B$10</f>
        <v>-8.6192701157502647</v>
      </c>
    </row>
    <row r="89" spans="1:7">
      <c r="A89" s="22">
        <v>2.6400000000000416E-2</v>
      </c>
      <c r="B89" s="22">
        <v>-9.1547584693784673E-3</v>
      </c>
      <c r="C89" s="22">
        <v>2.5198932318172806</v>
      </c>
      <c r="D89" s="22">
        <v>84.624908040492627</v>
      </c>
      <c r="E89" s="22">
        <v>-19301988.211206928</v>
      </c>
      <c r="F89" s="22">
        <f>(E89/dane!$B$8)*dane!$L$31</f>
        <v>-117962.72223934749</v>
      </c>
      <c r="G89" s="22">
        <f xml:space="preserve"> B89*dane!$B$10</f>
        <v>-7.9646398683592663</v>
      </c>
    </row>
    <row r="90" spans="1:7">
      <c r="A90" s="22">
        <v>2.6700000000000432E-2</v>
      </c>
      <c r="B90" s="22">
        <v>-8.3946961954803299E-3</v>
      </c>
      <c r="C90" s="22">
        <v>2.545222168767582</v>
      </c>
      <c r="D90" s="22">
        <v>84.261986937722313</v>
      </c>
      <c r="E90" s="22">
        <v>-19219209.996028025</v>
      </c>
      <c r="F90" s="22">
        <f>(E90/dane!$B$8)*dane!$L$31</f>
        <v>-117456.82909001126</v>
      </c>
      <c r="G90" s="22">
        <f xml:space="preserve"> B90*dane!$B$10</f>
        <v>-7.3033856900678868</v>
      </c>
    </row>
    <row r="91" spans="1:7">
      <c r="A91" s="22">
        <v>2.7000000000000447E-2</v>
      </c>
      <c r="B91" s="22">
        <v>-7.6270528958246025E-3</v>
      </c>
      <c r="C91" s="22">
        <v>2.5704416436065949</v>
      </c>
      <c r="D91" s="22">
        <v>83.895441988238446</v>
      </c>
      <c r="E91" s="22">
        <v>-19135605.222236961</v>
      </c>
      <c r="F91" s="22">
        <f>(E91/dane!$B$8)*dane!$L$31</f>
        <v>-116945.88448675675</v>
      </c>
      <c r="G91" s="22">
        <f xml:space="preserve"> B91*dane!$B$10</f>
        <v>-6.6355360193674038</v>
      </c>
    </row>
    <row r="92" spans="1:7">
      <c r="A92" s="22">
        <v>2.7300000000000463E-2</v>
      </c>
      <c r="B92" s="22">
        <v>-6.8518615843687096E-3</v>
      </c>
      <c r="C92" s="22">
        <v>2.5955505717229279</v>
      </c>
      <c r="D92" s="22">
        <v>83.525288956002484</v>
      </c>
      <c r="E92" s="22">
        <v>-19051177.48541576</v>
      </c>
      <c r="F92" s="22">
        <f>(E92/dane!$B$8)*dane!$L$31</f>
        <v>-116429.91040372659</v>
      </c>
      <c r="G92" s="22">
        <f xml:space="preserve"> B92*dane!$B$10</f>
        <v>-5.9611195784007771</v>
      </c>
    </row>
    <row r="93" spans="1:7">
      <c r="A93" s="22">
        <v>2.7600000000000478E-2</v>
      </c>
      <c r="B93" s="22">
        <v>-6.0691555996866403E-3</v>
      </c>
      <c r="C93" s="22">
        <v>2.6205478732594596</v>
      </c>
      <c r="D93" s="22">
        <v>83.151543760148272</v>
      </c>
      <c r="E93" s="22">
        <v>-18965930.41653952</v>
      </c>
      <c r="F93" s="22">
        <f>(E93/dane!$B$8)*dane!$L$31</f>
        <v>-115908.92903136581</v>
      </c>
      <c r="G93" s="22">
        <f xml:space="preserve"> B93*dane!$B$10</f>
        <v>-5.2801653717273771</v>
      </c>
    </row>
    <row r="94" spans="1:7">
      <c r="A94" s="22">
        <v>2.7900000000000494E-2</v>
      </c>
      <c r="B94" s="22">
        <v>-5.278968603535176E-3</v>
      </c>
      <c r="C94" s="22">
        <v>2.6454324731597816</v>
      </c>
      <c r="D94" s="22">
        <v>82.774222474297446</v>
      </c>
      <c r="E94" s="22">
        <v>-18879867.68182027</v>
      </c>
      <c r="F94" s="22">
        <f>(E94/dane!$B$8)*dane!$L$31</f>
        <v>-115382.96277546731</v>
      </c>
      <c r="G94" s="22">
        <f xml:space="preserve"> B94*dane!$B$10</f>
        <v>-4.5927026850756034</v>
      </c>
    </row>
    <row r="95" spans="1:7">
      <c r="A95" s="22">
        <v>2.8200000000000509E-2</v>
      </c>
      <c r="B95" s="22">
        <v>-4.481334579406201E-3</v>
      </c>
      <c r="C95" s="22">
        <v>2.6702033012144333</v>
      </c>
      <c r="D95" s="22">
        <v>82.393341325868263</v>
      </c>
      <c r="E95" s="22">
        <v>-18792992.982549302</v>
      </c>
      <c r="F95" s="22">
        <f>(E95/dane!$B$8)*dane!$L$31</f>
        <v>-114852.03425620844</v>
      </c>
      <c r="G95" s="22">
        <f xml:space="preserve"> B95*dane!$B$10</f>
        <v>-3.8987610840833948</v>
      </c>
    </row>
    <row r="96" spans="1:7">
      <c r="A96" s="22">
        <v>2.8500000000000525E-2</v>
      </c>
      <c r="B96" s="22">
        <v>-3.676287831065174E-3</v>
      </c>
      <c r="C96" s="22">
        <v>2.6948592921069294</v>
      </c>
      <c r="D96" s="22">
        <v>82.008916695377593</v>
      </c>
      <c r="E96" s="22">
        <v>-18705310.054937989</v>
      </c>
      <c r="F96" s="22">
        <f>(E96/dane!$B$8)*dane!$L$31</f>
        <v>-114316.16630717818</v>
      </c>
      <c r="G96" s="22">
        <f xml:space="preserve"> B96*dane!$B$10</f>
        <v>-3.1983704130267014</v>
      </c>
    </row>
    <row r="97" spans="1:7">
      <c r="A97" s="22">
        <v>2.880000000000054E-2</v>
      </c>
      <c r="B97" s="22">
        <v>-2.8638629810758287E-3</v>
      </c>
      <c r="C97" s="22">
        <v>2.7193993854595737</v>
      </c>
      <c r="D97" s="22">
        <v>81.620965115736453</v>
      </c>
      <c r="E97" s="22">
        <v>-18616822.669957086</v>
      </c>
      <c r="F97" s="22">
        <f>(E97/dane!$B$8)*dane!$L$31</f>
        <v>-113775.38197439488</v>
      </c>
      <c r="G97" s="22">
        <f xml:space="preserve"> B97*dane!$B$10</f>
        <v>-2.4915607935359709</v>
      </c>
    </row>
    <row r="98" spans="1:7">
      <c r="A98" s="22">
        <v>2.9100000000000556E-2</v>
      </c>
      <c r="B98" s="22">
        <v>-2.0440949693111689E-3</v>
      </c>
      <c r="C98" s="22">
        <v>2.7438225258790636</v>
      </c>
      <c r="D98" s="22">
        <v>81.229503271539016</v>
      </c>
      <c r="E98" s="22">
        <v>-18527534.633174576</v>
      </c>
      <c r="F98" s="22">
        <f>(E98/dane!$B$8)*dane!$L$31</f>
        <v>-113229.70451531549</v>
      </c>
      <c r="G98" s="22">
        <f xml:space="preserve"> B98*dane!$B$10</f>
        <v>-1.7783626233007168</v>
      </c>
    </row>
    <row r="99" spans="1:7">
      <c r="A99" s="22">
        <v>2.9400000000000572E-2</v>
      </c>
      <c r="B99" s="22">
        <v>-1.2170190514508106E-3</v>
      </c>
      <c r="C99" s="22">
        <v>2.768127663001879</v>
      </c>
      <c r="D99" s="22">
        <v>80.834547998345059</v>
      </c>
      <c r="E99" s="22">
        <v>-18437449.78459198</v>
      </c>
      <c r="F99" s="22">
        <f>(E99/dane!$B$8)*dane!$L$31</f>
        <v>-112679.15739783499</v>
      </c>
      <c r="G99" s="22">
        <f xml:space="preserve"> B99*dane!$B$10</f>
        <v>-1.0588065747622053</v>
      </c>
    </row>
    <row r="100" spans="1:7">
      <c r="A100" s="22">
        <v>2.9700000000000587E-2</v>
      </c>
      <c r="B100" s="22">
        <v>-3.8270190176670649E-4</v>
      </c>
      <c r="C100" s="22">
        <v>2.7914433633538529</v>
      </c>
      <c r="D100" s="22">
        <v>59.349708117878741</v>
      </c>
      <c r="E100" s="22">
        <v>-13536999.837940373</v>
      </c>
      <c r="F100" s="22">
        <f>(E100/dane!$B$8)*dane!$L$31</f>
        <v>-82730.40758101274</v>
      </c>
      <c r="G100" s="22">
        <f xml:space="preserve"> B100*dane!$B$10</f>
        <v>-0.33295065453703465</v>
      </c>
    </row>
    <row r="101" spans="1:7">
      <c r="A101" s="22">
        <v>3.0000000000000603E-2</v>
      </c>
      <c r="B101" s="22">
        <v>4.5553374351790468E-4</v>
      </c>
      <c r="C101" s="22">
        <v>2.7912756290636009</v>
      </c>
      <c r="D101" s="22">
        <v>-51.916372629701023</v>
      </c>
      <c r="E101" s="22">
        <v>11841539.750774324</v>
      </c>
      <c r="F101" s="22">
        <f>(E101/dane!$B$8)*dane!$L$31</f>
        <v>72368.724362589375</v>
      </c>
      <c r="G101" s="22">
        <f xml:space="preserve"> B101*dane!$B$10</f>
        <v>0.39631435686057709</v>
      </c>
    </row>
    <row r="102" spans="1:7">
      <c r="A102" s="22">
        <v>3.0300000000000618E-2</v>
      </c>
      <c r="B102" s="22">
        <v>1.2892410004675869E-3</v>
      </c>
      <c r="C102" s="22">
        <v>2.7678817281682133</v>
      </c>
      <c r="D102" s="22">
        <v>-80.808011637358319</v>
      </c>
      <c r="E102" s="22">
        <v>18431397.139587164</v>
      </c>
      <c r="F102" s="22">
        <f>(E102/dane!$B$8)*dane!$L$31</f>
        <v>112642.16709021984</v>
      </c>
      <c r="G102" s="22">
        <f xml:space="preserve"> B102*dane!$B$10</f>
        <v>1.1216396704068006</v>
      </c>
    </row>
    <row r="103" spans="1:7">
      <c r="A103" s="22">
        <v>3.0600000000000634E-2</v>
      </c>
      <c r="B103" s="22">
        <v>2.1156820574416324E-3</v>
      </c>
      <c r="C103" s="22">
        <v>2.7435754000413644</v>
      </c>
      <c r="D103" s="22">
        <v>-81.203199598847121</v>
      </c>
      <c r="E103" s="22">
        <v>18521535.061748542</v>
      </c>
      <c r="F103" s="22">
        <f>(E103/dane!$B$8)*dane!$L$31</f>
        <v>113193.0385630861</v>
      </c>
      <c r="G103" s="22">
        <f xml:space="preserve"> B103*dane!$B$10</f>
        <v>1.8406433899742203</v>
      </c>
    </row>
    <row r="104" spans="1:7">
      <c r="A104" s="22">
        <v>3.0900000000000649E-2</v>
      </c>
      <c r="B104" s="22">
        <v>2.9348121295813519E-3</v>
      </c>
      <c r="C104" s="22">
        <v>2.719151079245957</v>
      </c>
      <c r="D104" s="22">
        <v>-81.594895262578774</v>
      </c>
      <c r="E104" s="22">
        <v>18610876.430132795</v>
      </c>
      <c r="F104" s="22">
        <f>(E104/dane!$B$8)*dane!$L$31</f>
        <v>113739.04195444014</v>
      </c>
      <c r="G104" s="22">
        <f xml:space="preserve"> B104*dane!$B$10</f>
        <v>2.5532865527357762</v>
      </c>
    </row>
    <row r="105" spans="1:7">
      <c r="A105" s="22">
        <v>3.1200000000000665E-2</v>
      </c>
      <c r="B105" s="22">
        <v>3.7465959886429341E-3</v>
      </c>
      <c r="C105" s="22">
        <v>2.6946098161962753</v>
      </c>
      <c r="D105" s="22">
        <v>-81.983081782937646</v>
      </c>
      <c r="E105" s="22">
        <v>18699417.402444769</v>
      </c>
      <c r="F105" s="22">
        <f>(E105/dane!$B$8)*dane!$L$31</f>
        <v>114280.1537823696</v>
      </c>
      <c r="G105" s="22">
        <f xml:space="preserve"> B105*dane!$B$10</f>
        <v>3.2595385101193526</v>
      </c>
    </row>
    <row r="106" spans="1:7">
      <c r="A106" s="22">
        <v>3.150000000000068E-2</v>
      </c>
      <c r="B106" s="22">
        <v>4.5509987223204063E-3</v>
      </c>
      <c r="C106" s="22">
        <v>2.6699526663359276</v>
      </c>
      <c r="D106" s="22">
        <v>-82.367742465225533</v>
      </c>
      <c r="E106" s="22">
        <v>18787154.170811865</v>
      </c>
      <c r="F106" s="22">
        <f>(E106/dane!$B$8)*dane!$L$31</f>
        <v>114816.35077533308</v>
      </c>
      <c r="G106" s="22">
        <f xml:space="preserve"> B106*dane!$B$10</f>
        <v>3.9593688884187537</v>
      </c>
    </row>
    <row r="107" spans="1:7">
      <c r="A107" s="22">
        <v>3.1800000000000696E-2</v>
      </c>
      <c r="B107" s="22">
        <v>5.347985735747106E-3</v>
      </c>
      <c r="C107" s="22">
        <v>2.6451806900924528</v>
      </c>
      <c r="D107" s="22">
        <v>-82.748860766379508</v>
      </c>
      <c r="E107" s="22">
        <v>18874082.961947795</v>
      </c>
      <c r="F107" s="22">
        <f>(E107/dane!$B$8)*dane!$L$31</f>
        <v>115347.60987316095</v>
      </c>
      <c r="G107" s="22">
        <f xml:space="preserve"> B107*dane!$B$10</f>
        <v>4.652747590099982</v>
      </c>
    </row>
    <row r="108" spans="1:7">
      <c r="A108" s="22">
        <v>3.2100000000000711E-2</v>
      </c>
      <c r="B108" s="22">
        <v>6.1375227529835005E-3</v>
      </c>
      <c r="C108" s="22">
        <v>2.6202949528317161</v>
      </c>
      <c r="D108" s="22">
        <v>-83.126420295683516</v>
      </c>
      <c r="E108" s="22">
        <v>18960200.037314869</v>
      </c>
      <c r="F108" s="22">
        <f>(E108/dane!$B$8)*dane!$L$31</f>
        <v>115873.90822804716</v>
      </c>
      <c r="G108" s="22">
        <f xml:space="preserve"> B108*dane!$B$10</f>
        <v>5.3396447950956452</v>
      </c>
    </row>
    <row r="109" spans="1:7">
      <c r="A109" s="22">
        <v>3.2400000000000727E-2</v>
      </c>
      <c r="B109" s="22">
        <v>6.9195758184912833E-3</v>
      </c>
      <c r="C109" s="22">
        <v>2.5952965248120936</v>
      </c>
      <c r="D109" s="22">
        <v>-83.500404815473232</v>
      </c>
      <c r="E109" s="22">
        <v>19045501.693284772</v>
      </c>
      <c r="F109" s="22">
        <f>(E109/dane!$B$8)*dane!$L$31</f>
        <v>116395.2232055318</v>
      </c>
      <c r="G109" s="22">
        <f xml:space="preserve"> B109*dane!$B$10</f>
        <v>6.0200309620874162</v>
      </c>
    </row>
    <row r="110" spans="1:7">
      <c r="A110" s="22">
        <v>3.2700000000000742E-2</v>
      </c>
      <c r="B110" s="22">
        <v>7.6941112985937027E-3</v>
      </c>
      <c r="C110" s="22">
        <v>2.5701864811384394</v>
      </c>
      <c r="D110" s="22">
        <v>-83.870798241834379</v>
      </c>
      <c r="E110" s="22">
        <v>19129984.261297852</v>
      </c>
      <c r="F110" s="22">
        <f>(E110/dane!$B$8)*dane!$L$31</f>
        <v>116911.53238547459</v>
      </c>
      <c r="G110" s="22">
        <f xml:space="preserve"> B110*dane!$B$10</f>
        <v>6.6938768297765217</v>
      </c>
    </row>
    <row r="111" spans="1:7">
      <c r="A111" s="22">
        <v>3.3000000000000758E-2</v>
      </c>
      <c r="B111" s="22">
        <v>8.4610958829220376E-3</v>
      </c>
      <c r="C111" s="22">
        <v>2.5449659017158508</v>
      </c>
      <c r="D111" s="22">
        <v>-84.237584645294504</v>
      </c>
      <c r="E111" s="22">
        <v>19213644.108020883</v>
      </c>
      <c r="F111" s="22">
        <f>(E111/dane!$B$8)*dane!$L$31</f>
        <v>117422.81356301905</v>
      </c>
      <c r="G111" s="22">
        <f xml:space="preserve"> B111*dane!$B$10</f>
        <v>7.3611534181421732</v>
      </c>
    </row>
    <row r="112" spans="1:7">
      <c r="A112" s="22">
        <v>3.3300000000000773E-2</v>
      </c>
      <c r="B112" s="22">
        <v>9.220496585848172E-3</v>
      </c>
      <c r="C112" s="22">
        <v>2.5196358712032252</v>
      </c>
      <c r="D112" s="22">
        <v>-84.600748251508008</v>
      </c>
      <c r="E112" s="22">
        <v>19296477.635503341</v>
      </c>
      <c r="F112" s="22">
        <f>(E112/dane!$B$8)*dane!$L$31</f>
        <v>117929.04474954757</v>
      </c>
      <c r="G112" s="22">
        <f xml:space="preserve"> B112*dane!$B$10</f>
        <v>8.0218320296879089</v>
      </c>
    </row>
    <row r="113" spans="1:7">
      <c r="A113" s="22">
        <v>3.3600000000000789E-2</v>
      </c>
      <c r="B113" s="22">
        <v>9.9722807479032116E-3</v>
      </c>
      <c r="C113" s="22">
        <v>2.4941974789666128</v>
      </c>
      <c r="D113" s="22">
        <v>-84.960273441934575</v>
      </c>
      <c r="E113" s="22">
        <v>19378481.28133212</v>
      </c>
      <c r="F113" s="22">
        <f>(E113/dane!$B$8)*dane!$L$31</f>
        <v>118430.20417362687</v>
      </c>
      <c r="G113" s="22">
        <f xml:space="preserve"> B113*dane!$B$10</f>
        <v>8.6758842506757947</v>
      </c>
    </row>
    <row r="114" spans="1:7">
      <c r="A114" s="22">
        <v>3.3900000000000804E-2</v>
      </c>
      <c r="B114" s="22">
        <v>1.0716416037182057E-2</v>
      </c>
      <c r="C114" s="22">
        <v>2.4686518190323636</v>
      </c>
      <c r="D114" s="22">
        <v>-85.316144754510859</v>
      </c>
      <c r="E114" s="22">
        <v>19459651.518784754</v>
      </c>
      <c r="F114" s="22">
        <f>(E114/dane!$B$8)*dane!$L$31</f>
        <v>118926.27028194454</v>
      </c>
      <c r="G114" s="22">
        <f xml:space="preserve"> B114*dane!$B$10</f>
        <v>9.3232819523483901</v>
      </c>
    </row>
    <row r="115" spans="1:7">
      <c r="A115" s="22">
        <v>3.420000000000082E-2</v>
      </c>
      <c r="B115" s="22">
        <v>1.1452870450733909E-2</v>
      </c>
      <c r="C115" s="22">
        <v>2.4429999900400814</v>
      </c>
      <c r="D115" s="22">
        <v>-85.668346884315469</v>
      </c>
      <c r="E115" s="22">
        <v>19539984.856981087</v>
      </c>
      <c r="F115" s="22">
        <f>(E115/dane!$B$8)*dane!$L$31</f>
        <v>119417.22174023584</v>
      </c>
      <c r="G115" s="22">
        <f xml:space="preserve"> B115*dane!$B$10</f>
        <v>9.9639972921385009</v>
      </c>
    </row>
    <row r="116" spans="1:7">
      <c r="A116" s="22">
        <v>3.4500000000000836E-2</v>
      </c>
      <c r="B116" s="22">
        <v>1.2181612315938605E-2</v>
      </c>
      <c r="C116" s="22">
        <v>2.4172430951953681</v>
      </c>
      <c r="D116" s="22">
        <v>-86.016864684227158</v>
      </c>
      <c r="E116" s="22">
        <v>19619477.841033399</v>
      </c>
      <c r="F116" s="22">
        <f>(E116/dane!$B$8)*dane!$L$31</f>
        <v>119903.03743420125</v>
      </c>
      <c r="G116" s="22">
        <f xml:space="preserve"> B116*dane!$B$10</f>
        <v>10.598002714866587</v>
      </c>
    </row>
    <row r="117" spans="1:7">
      <c r="A117" s="22">
        <v>3.4800000000000851E-2</v>
      </c>
      <c r="B117" s="22">
        <v>1.2902610291868771E-2</v>
      </c>
      <c r="C117" s="22">
        <v>2.3913822422223858</v>
      </c>
      <c r="D117" s="22">
        <v>-86.361683165576324</v>
      </c>
      <c r="E117" s="22">
        <v>19698127.052195001</v>
      </c>
      <c r="F117" s="22">
        <f>(E117/dane!$B$8)*dane!$L$31</f>
        <v>120383.69647041459</v>
      </c>
      <c r="G117" s="22">
        <f xml:space="preserve"> B117*dane!$B$10</f>
        <v>11.225270953925831</v>
      </c>
    </row>
    <row r="118" spans="1:7">
      <c r="A118" s="22">
        <v>3.5100000000000867E-2</v>
      </c>
      <c r="B118" s="22">
        <v>1.3615833370637688E-2</v>
      </c>
      <c r="C118" s="22">
        <v>2.3654185433162107</v>
      </c>
      <c r="D118" s="22">
        <v>-86.702787498789547</v>
      </c>
      <c r="E118" s="22">
        <v>19775929.108007256</v>
      </c>
      <c r="F118" s="22">
        <f>(E118/dane!$B$8)*dane!$L$31</f>
        <v>120859.17817722149</v>
      </c>
      <c r="G118" s="22">
        <f xml:space="preserve"> B118*dane!$B$10</f>
        <v>11.845775032454789</v>
      </c>
    </row>
    <row r="119" spans="1:7">
      <c r="A119" s="22">
        <v>3.5400000000000882E-2</v>
      </c>
      <c r="B119" s="22">
        <v>1.4321250878732849E-2</v>
      </c>
      <c r="C119" s="22">
        <v>2.3393531150950047</v>
      </c>
      <c r="D119" s="22">
        <v>-87.040163014027442</v>
      </c>
      <c r="E119" s="22">
        <v>19852880.662445053</v>
      </c>
      <c r="F119" s="22">
        <f>(E119/dane!$B$8)*dane!$L$31</f>
        <v>121329.46210562848</v>
      </c>
      <c r="G119" s="22">
        <f xml:space="preserve"> B119*dane!$B$10</f>
        <v>12.45948826449758</v>
      </c>
    </row>
    <row r="120" spans="1:7">
      <c r="A120" s="22">
        <v>3.5700000000000898E-2</v>
      </c>
      <c r="B120" s="22">
        <v>1.5018832478335138E-2</v>
      </c>
      <c r="C120" s="22">
        <v>2.3131870785519903</v>
      </c>
      <c r="D120" s="22">
        <v>-87.373795201815483</v>
      </c>
      <c r="E120" s="22">
        <v>19928978.406060711</v>
      </c>
      <c r="F120" s="22">
        <f>(E120/dane!$B$8)*dane!$L$31</f>
        <v>121794.52803018245</v>
      </c>
      <c r="G120" s="22">
        <f xml:space="preserve"> B120*dane!$B$10</f>
        <v>13.06638425615157</v>
      </c>
    </row>
    <row r="121" spans="1:7">
      <c r="A121" s="22">
        <v>3.6000000000000913E-2</v>
      </c>
      <c r="B121" s="22">
        <v>1.5708548168623552E-2</v>
      </c>
      <c r="C121" s="22">
        <v>2.2869215590072463</v>
      </c>
      <c r="D121" s="22">
        <v>-87.703669713668035</v>
      </c>
      <c r="E121" s="22">
        <v>20004219.066126291</v>
      </c>
      <c r="F121" s="22">
        <f>(E121/dane!$B$8)*dane!$L$31</f>
        <v>122254.35594984038</v>
      </c>
      <c r="G121" s="22">
        <f xml:space="preserve"> B121*dane!$B$10</f>
        <v>13.66643690670249</v>
      </c>
    </row>
    <row r="122" spans="1:7">
      <c r="A122" s="22">
        <v>3.6300000000000929E-2</v>
      </c>
      <c r="B122" s="22">
        <v>1.6390368287065464E-2</v>
      </c>
      <c r="C122" s="22">
        <v>2.2605576860593026</v>
      </c>
      <c r="D122" s="22">
        <v>-88.029772362705515</v>
      </c>
      <c r="E122" s="22">
        <v>20078599.406774376</v>
      </c>
      <c r="F122" s="22">
        <f>(E122/dane!$B$8)*dane!$L$31</f>
        <v>122708.92608882968</v>
      </c>
      <c r="G122" s="22">
        <f xml:space="preserve"> B122*dane!$B$10</f>
        <v>14.259620409746955</v>
      </c>
    </row>
    <row r="123" spans="1:7">
      <c r="A123" s="22">
        <v>3.6600000000000944E-2</v>
      </c>
      <c r="B123" s="22">
        <v>1.7064263510692287E-2</v>
      </c>
      <c r="C123" s="22">
        <v>2.2340965935365653</v>
      </c>
      <c r="D123" s="22">
        <v>-88.352089124264396</v>
      </c>
      <c r="E123" s="22">
        <v>20152116.229137208</v>
      </c>
      <c r="F123" s="22">
        <f>(E123/dane!$B$8)*dane!$L$31</f>
        <v>123158.21889749855</v>
      </c>
      <c r="G123" s="22">
        <f xml:space="preserve"> B123*dane!$B$10</f>
        <v>14.84590925430229</v>
      </c>
    </row>
    <row r="124" spans="1:7">
      <c r="A124" s="22">
        <v>3.690000000000096E-2</v>
      </c>
      <c r="B124" s="22">
        <v>1.7730204857360585E-2</v>
      </c>
      <c r="C124" s="22">
        <v>2.207539419448552</v>
      </c>
      <c r="D124" s="22">
        <v>-88.670606136500439</v>
      </c>
      <c r="E124" s="22">
        <v>20224766.371484272</v>
      </c>
      <c r="F124" s="22">
        <f>(E124/dane!$B$8)*dane!$L$31</f>
        <v>123602.21505315675</v>
      </c>
      <c r="G124" s="22">
        <f xml:space="preserve"> B124*dane!$B$10</f>
        <v>15.425278225903709</v>
      </c>
    </row>
    <row r="125" spans="1:7">
      <c r="A125" s="22">
        <v>3.7200000000000975E-2</v>
      </c>
      <c r="B125" s="22">
        <v>1.8388163686998506E-2</v>
      </c>
      <c r="C125" s="22">
        <v>2.180887305936952</v>
      </c>
      <c r="D125" s="22">
        <v>-88.985309700984871</v>
      </c>
      <c r="E125" s="22">
        <v>20296546.709358279</v>
      </c>
      <c r="F125" s="22">
        <f>(E125/dane!$B$8)*dane!$L$31</f>
        <v>124040.89546090673</v>
      </c>
      <c r="G125" s="22">
        <f xml:space="preserve"> B125*dane!$B$10</f>
        <v>15.997702407688699</v>
      </c>
    </row>
    <row r="126" spans="1:7">
      <c r="A126" s="22">
        <v>3.7500000000000991E-2</v>
      </c>
      <c r="B126" s="22">
        <v>1.9038111702837496E-2</v>
      </c>
      <c r="C126" s="22">
        <v>2.1541413992265035</v>
      </c>
      <c r="D126" s="22">
        <v>-89.296186283293451</v>
      </c>
      <c r="E126" s="22">
        <v>20367454.155709527</v>
      </c>
      <c r="F126" s="22">
        <f>(E126/dane!$B$8)*dane!$L$31</f>
        <v>124474.24125446481</v>
      </c>
      <c r="G126" s="22">
        <f xml:space="preserve"> B126*dane!$B$10</f>
        <v>16.563157181468622</v>
      </c>
    </row>
    <row r="127" spans="1:7">
      <c r="A127" s="22">
        <v>3.7800000000001006E-2</v>
      </c>
      <c r="B127" s="22">
        <v>1.9680020952629256E-2</v>
      </c>
      <c r="C127" s="22">
        <v>2.1273028495757003</v>
      </c>
      <c r="D127" s="22">
        <v>-89.603222513588577</v>
      </c>
      <c r="E127" s="22">
        <v>20437485.661028672</v>
      </c>
      <c r="F127" s="22">
        <f>(E127/dane!$B$8)*dane!$L$31</f>
        <v>124902.23379697237</v>
      </c>
      <c r="G127" s="22">
        <f xml:space="preserve"> B127*dane!$B$10</f>
        <v>17.121618228787455</v>
      </c>
    </row>
    <row r="128" spans="1:7">
      <c r="A128" s="22">
        <v>3.8100000000001022E-2</v>
      </c>
      <c r="B128" s="22">
        <v>2.0313863829847876E-2</v>
      </c>
      <c r="C128" s="22">
        <v>2.1003728112273206</v>
      </c>
      <c r="D128" s="22">
        <v>-89.906405187194281</v>
      </c>
      <c r="E128" s="22">
        <v>20506638.21347788</v>
      </c>
      <c r="F128" s="22">
        <f>(E128/dane!$B$8)*dane!$L$31</f>
        <v>125324.85468179766</v>
      </c>
      <c r="G128" s="22">
        <f xml:space="preserve"> B128*dane!$B$10</f>
        <v>17.673061531967651</v>
      </c>
    </row>
    <row r="129" spans="1:7">
      <c r="A129" s="22">
        <v>3.8400000000001037E-2</v>
      </c>
      <c r="B129" s="22">
        <v>2.0939613074877114E-2</v>
      </c>
      <c r="C129" s="22">
        <v>2.0733524423587881</v>
      </c>
      <c r="D129" s="22">
        <v>-90.205721265164129</v>
      </c>
      <c r="E129" s="22">
        <v>20574908.839020353</v>
      </c>
      <c r="F129" s="22">
        <f>(E129/dane!$B$8)*dane!$L$31</f>
        <v>125742.08573332724</v>
      </c>
      <c r="G129" s="22">
        <f xml:space="preserve"> B129*dane!$B$10</f>
        <v>18.21746337514309</v>
      </c>
    </row>
    <row r="130" spans="1:7">
      <c r="A130" s="22">
        <v>3.8700000000001053E-2</v>
      </c>
      <c r="B130" s="22">
        <v>2.1557241776182762E-2</v>
      </c>
      <c r="C130" s="22">
        <v>2.0462429050323636</v>
      </c>
      <c r="D130" s="22">
        <v>-90.501157874841951</v>
      </c>
      <c r="E130" s="22">
        <v>20642294.601548232</v>
      </c>
      <c r="F130" s="22">
        <f>(E130/dane!$B$8)*dane!$L$31</f>
        <v>126153.90900774761</v>
      </c>
      <c r="G130" s="22">
        <f xml:space="preserve"> B130*dane!$B$10</f>
        <v>18.754800345279001</v>
      </c>
    </row>
    <row r="131" spans="1:7">
      <c r="A131" s="22">
        <v>3.9000000000001069E-2</v>
      </c>
      <c r="B131" s="22">
        <v>2.2166723371469979E-2</v>
      </c>
      <c r="C131" s="22">
        <v>2.0190453651451641</v>
      </c>
      <c r="D131" s="22">
        <v>-90.792702310415478</v>
      </c>
      <c r="E131" s="22">
        <v>20708792.60300887</v>
      </c>
      <c r="F131" s="22">
        <f>(E131/dane!$B$8)*dane!$L$31</f>
        <v>126560.30679381707</v>
      </c>
      <c r="G131" s="22">
        <f xml:space="preserve"> B131*dane!$B$10</f>
        <v>19.285049333178883</v>
      </c>
    </row>
    <row r="132" spans="1:7">
      <c r="A132" s="22">
        <v>3.9300000000001084E-2</v>
      </c>
      <c r="B132" s="22">
        <v>2.2768031648825723E-2</v>
      </c>
      <c r="C132" s="22">
        <v>1.9917609923790245</v>
      </c>
      <c r="D132" s="22">
        <v>-91.08034203346277</v>
      </c>
      <c r="E132" s="22">
        <v>20774399.983529475</v>
      </c>
      <c r="F132" s="22">
        <f>(E132/dane!$B$8)*dane!$L$31</f>
        <v>126961.26161362727</v>
      </c>
      <c r="G132" s="22">
        <f xml:space="preserve"> B132*dane!$B$10</f>
        <v>19.808187534478378</v>
      </c>
    </row>
    <row r="133" spans="1:7">
      <c r="A133" s="22">
        <v>3.96000000000011E-2</v>
      </c>
      <c r="B133" s="22">
        <v>2.3361140747845972E-2</v>
      </c>
      <c r="C133" s="22">
        <v>1.9643909601501943</v>
      </c>
      <c r="D133" s="22">
        <v>-91.364064673491498</v>
      </c>
      <c r="E133" s="22">
        <v>20839113.921540096</v>
      </c>
      <c r="F133" s="22">
        <f>(E133/dane!$B$8)*dane!$L$31</f>
        <v>127356.75622335504</v>
      </c>
      <c r="G133" s="22">
        <f xml:space="preserve"> B133*dane!$B$10</f>
        <v>20.324192450625997</v>
      </c>
    </row>
    <row r="134" spans="1:7">
      <c r="A134" s="22">
        <v>3.9900000000001115E-2</v>
      </c>
      <c r="B134" s="22">
        <v>2.3946025160747939E-2</v>
      </c>
      <c r="C134" s="22">
        <v>1.9369364455588693</v>
      </c>
      <c r="D134" s="22">
        <v>-91.643858028470873</v>
      </c>
      <c r="E134" s="22">
        <v>20902931.633894973</v>
      </c>
      <c r="F134" s="22">
        <f>(E134/dane!$B$8)*dane!$L$31</f>
        <v>127746.77361400385</v>
      </c>
      <c r="G134" s="22">
        <f xml:space="preserve"> B134*dane!$B$10</f>
        <v>20.833041889850705</v>
      </c>
    </row>
    <row r="135" spans="1:7">
      <c r="A135" s="22">
        <v>4.0200000000001131E-2</v>
      </c>
      <c r="B135" s="22">
        <v>2.4522659733467102E-2</v>
      </c>
      <c r="C135" s="22">
        <v>1.9093986293385694</v>
      </c>
      <c r="D135" s="22">
        <v>-91.919710065356526</v>
      </c>
      <c r="E135" s="22">
        <v>20965850.375992235</v>
      </c>
      <c r="F135" s="22">
        <f>(E135/dane!$B$8)*dane!$L$31</f>
        <v>128131.2970121354</v>
      </c>
      <c r="G135" s="22">
        <f xml:space="preserve"> B135*dane!$B$10</f>
        <v>21.334713968116379</v>
      </c>
    </row>
    <row r="136" spans="1:7">
      <c r="A136" s="22">
        <v>4.0500000000001146E-2</v>
      </c>
      <c r="B136" s="22">
        <v>2.5091019666738965E-2</v>
      </c>
      <c r="C136" s="22">
        <v>1.8817786958053602</v>
      </c>
      <c r="D136" s="22">
        <v>-92.191608920607919</v>
      </c>
      <c r="E136" s="22">
        <v>21027867.441891931</v>
      </c>
      <c r="F136" s="22">
        <f>(E136/dane!$B$8)*dane!$L$31</f>
        <v>128510.30988059097</v>
      </c>
      <c r="G136" s="22">
        <f xml:space="preserve"> B136*dane!$B$10</f>
        <v>21.8291871100629</v>
      </c>
    </row>
    <row r="137" spans="1:7">
      <c r="A137" s="22">
        <v>4.0800000000001162E-2</v>
      </c>
      <c r="B137" s="22">
        <v>2.5651080517165591E-2</v>
      </c>
      <c r="C137" s="22">
        <v>1.8540778328069172</v>
      </c>
      <c r="D137" s="22">
        <v>-92.459542900698594</v>
      </c>
      <c r="E137" s="22">
        <v>21088980.164432406</v>
      </c>
      <c r="F137" s="22">
        <f>(E137/dane!$B$8)*dane!$L$31</f>
        <v>128883.79591920262</v>
      </c>
      <c r="G137" s="22">
        <f xml:space="preserve"> B137*dane!$B$10</f>
        <v>22.316440049934066</v>
      </c>
    </row>
    <row r="138" spans="1:7">
      <c r="A138" s="22">
        <v>4.1100000000001177E-2</v>
      </c>
      <c r="B138" s="22">
        <v>2.6202818198266892E-2</v>
      </c>
      <c r="C138" s="22">
        <v>1.8262972316714423</v>
      </c>
      <c r="D138" s="22">
        <v>-92.723500482619073</v>
      </c>
      <c r="E138" s="22">
        <v>21149185.915345009</v>
      </c>
      <c r="F138" s="22">
        <f>(E138/dane!$B$8)*dane!$L$31</f>
        <v>129251.73906549423</v>
      </c>
      <c r="G138" s="22">
        <f xml:space="preserve"> B138*dane!$B$10</f>
        <v>22.796451832492195</v>
      </c>
    </row>
    <row r="139" spans="1:7">
      <c r="A139" s="22">
        <v>4.1400000000001193E-2</v>
      </c>
      <c r="B139" s="22">
        <v>2.6746208981516442E-2</v>
      </c>
      <c r="C139" s="22">
        <v>1.7984380871564265</v>
      </c>
      <c r="D139" s="22">
        <v>-92.983470314372454</v>
      </c>
      <c r="E139" s="22">
        <v>21208482.105367128</v>
      </c>
      <c r="F139" s="22">
        <f>(E139/dane!$B$8)*dane!$L$31</f>
        <v>129614.12349537225</v>
      </c>
      <c r="G139" s="22">
        <f xml:space="preserve"> B139*dane!$B$10</f>
        <v>23.269201813919302</v>
      </c>
    </row>
    <row r="140" spans="1:7">
      <c r="A140" s="22">
        <v>4.1700000000001208E-2</v>
      </c>
      <c r="B140" s="22">
        <v>2.7281229497362027E-2</v>
      </c>
      <c r="C140" s="22">
        <v>1.7705015973972678</v>
      </c>
      <c r="D140" s="22">
        <v>-93.239441215462591</v>
      </c>
      <c r="E140" s="22">
        <v>21266866.184353538</v>
      </c>
      <c r="F140" s="22">
        <f>(E140/dane!$B$8)*dane!$L$31</f>
        <v>129970.93362380634</v>
      </c>
      <c r="G140" s="22">
        <f xml:space="preserve"> B140*dane!$B$10</f>
        <v>23.734669662704963</v>
      </c>
    </row>
    <row r="141" spans="1:7">
      <c r="A141" s="22">
        <v>4.2000000000001224E-2</v>
      </c>
      <c r="B141" s="22">
        <v>2.7807856736230662E-2</v>
      </c>
      <c r="C141" s="22">
        <v>1.7424889638557441</v>
      </c>
      <c r="D141" s="22">
        <v>-93.491402177374951</v>
      </c>
      <c r="E141" s="22">
        <v>21324335.641386088</v>
      </c>
      <c r="F141" s="22">
        <f>(E141/dane!$B$8)*dane!$L$31</f>
        <v>130322.15410549956</v>
      </c>
      <c r="G141" s="22">
        <f xml:space="preserve"> B141*dane!$B$10</f>
        <v>24.192835360520675</v>
      </c>
    </row>
    <row r="142" spans="1:7">
      <c r="A142" s="22">
        <v>4.2300000000001239E-2</v>
      </c>
      <c r="B142" s="22">
        <v>2.8326068049518184E-2</v>
      </c>
      <c r="C142" s="22">
        <v>1.7144013912683407</v>
      </c>
      <c r="D142" s="22">
        <v>-93.739342364050003</v>
      </c>
      <c r="E142" s="22">
        <v>21380888.004881673</v>
      </c>
      <c r="F142" s="22">
        <f>(E142/dane!$B$8)*dane!$L$31</f>
        <v>130667.76983554827</v>
      </c>
      <c r="G142" s="22">
        <f xml:space="preserve"> B142*dane!$B$10</f>
        <v>24.643679203080818</v>
      </c>
    </row>
    <row r="143" spans="1:7">
      <c r="A143" s="22">
        <v>4.2600000000001255E-2</v>
      </c>
      <c r="B143" s="22">
        <v>2.8835841150563278E-2</v>
      </c>
      <c r="C143" s="22">
        <v>1.6862400875944392</v>
      </c>
      <c r="D143" s="22">
        <v>-93.983251112349365</v>
      </c>
      <c r="E143" s="22">
        <v>21436520.842698544</v>
      </c>
      <c r="F143" s="22">
        <f>(E143/dane!$B$8)*dane!$L$31</f>
        <v>131007.76595009197</v>
      </c>
      <c r="G143" s="22">
        <f xml:space="preserve"> B143*dane!$B$10</f>
        <v>25.087181800990052</v>
      </c>
    </row>
    <row r="144" spans="1:7">
      <c r="A144" s="22">
        <v>4.290000000000127E-2</v>
      </c>
      <c r="B144" s="22">
        <v>2.9337154115605956E-2</v>
      </c>
      <c r="C144" s="22">
        <v>1.658006263964366</v>
      </c>
      <c r="D144" s="22">
        <v>-94.223117932514242</v>
      </c>
      <c r="E144" s="22">
        <v>21491231.762240894</v>
      </c>
      <c r="F144" s="22">
        <f>(E144/dane!$B$8)*dane!$L$31</f>
        <v>131342.1278269522</v>
      </c>
      <c r="G144" s="22">
        <f xml:space="preserve"> B144*dane!$B$10</f>
        <v>25.523324080577183</v>
      </c>
    </row>
    <row r="145" spans="1:7">
      <c r="A145" s="22">
        <v>4.3200000000001286E-2</v>
      </c>
      <c r="B145" s="22">
        <v>2.9829985384730459E-2</v>
      </c>
      <c r="C145" s="22">
        <v>1.6297011346273063</v>
      </c>
      <c r="D145" s="22">
        <v>-94.45893250861667</v>
      </c>
      <c r="E145" s="22">
        <v>21545018.410561763</v>
      </c>
      <c r="F145" s="22">
        <f>(E145/dane!$B$8)*dane!$L$31</f>
        <v>131670.84108626173</v>
      </c>
      <c r="G145" s="22">
        <f xml:space="preserve"> B145*dane!$B$10</f>
        <v>25.9520872847155</v>
      </c>
    </row>
    <row r="146" spans="1:7">
      <c r="A146" s="22">
        <v>4.3500000000001302E-2</v>
      </c>
      <c r="B146" s="22">
        <v>3.031431376279245E-2</v>
      </c>
      <c r="C146" s="22">
        <v>1.6013259168990825</v>
      </c>
      <c r="D146" s="22">
        <v>-94.690684699003128</v>
      </c>
      <c r="E146" s="22">
        <v>21597878.47446423</v>
      </c>
      <c r="F146" s="22">
        <f>(E146/dane!$B$8)*dane!$L$31</f>
        <v>131993.89159108282</v>
      </c>
      <c r="G146" s="22">
        <f xml:space="preserve"> B146*dane!$B$10</f>
        <v>26.37345297362943</v>
      </c>
    </row>
    <row r="147" spans="1:7">
      <c r="A147" s="22">
        <v>4.3800000000001317E-2</v>
      </c>
      <c r="B147" s="22">
        <v>3.0790118420330567E-2</v>
      </c>
      <c r="C147" s="22">
        <v>1.5728818311098016</v>
      </c>
      <c r="D147" s="22">
        <v>-94.918364536730707</v>
      </c>
      <c r="E147" s="22">
        <v>21649809.680600896</v>
      </c>
      <c r="F147" s="22">
        <f>(E147/dane!$B$8)*dane!$L$31</f>
        <v>132311.26544801518</v>
      </c>
      <c r="G147" s="22">
        <f xml:space="preserve"> B147*dane!$B$10</f>
        <v>26.787403025687592</v>
      </c>
    </row>
    <row r="148" spans="1:7">
      <c r="A148" s="22">
        <v>4.4100000000001333E-2</v>
      </c>
      <c r="B148" s="22">
        <v>3.1257378894462229E-2</v>
      </c>
      <c r="C148" s="22">
        <v>1.5443701005513712</v>
      </c>
      <c r="D148" s="22">
        <v>-95.141962229995755</v>
      </c>
      <c r="E148" s="22">
        <v>21700809.795571655</v>
      </c>
      <c r="F148" s="22">
        <f>(E148/dane!$B$8)*dane!$L$31</f>
        <v>132622.94900779362</v>
      </c>
      <c r="G148" s="22">
        <f xml:space="preserve"> B148*dane!$B$10</f>
        <v>27.193919638182138</v>
      </c>
    </row>
    <row r="149" spans="1:7">
      <c r="A149" s="22">
        <v>4.4400000000001348E-2</v>
      </c>
      <c r="B149" s="22">
        <v>3.17160750897637E-2</v>
      </c>
      <c r="C149" s="22">
        <v>1.5157919514248925</v>
      </c>
      <c r="D149" s="22">
        <v>-95.361468162554985</v>
      </c>
      <c r="E149" s="22">
        <v>21750876.626019742</v>
      </c>
      <c r="F149" s="22">
        <f>(E149/dane!$B$8)*dane!$L$31</f>
        <v>132928.92886587494</v>
      </c>
      <c r="G149" s="22">
        <f xml:space="preserve"> B149*dane!$B$10</f>
        <v>27.592985328094418</v>
      </c>
    </row>
    <row r="150" spans="1:7">
      <c r="A150" s="22">
        <v>4.4700000000001364E-2</v>
      </c>
      <c r="B150" s="22">
        <v>3.2166187279134298E-2</v>
      </c>
      <c r="C150" s="22">
        <v>1.4871486127879217</v>
      </c>
      <c r="D150" s="22">
        <v>-95.576872894139058</v>
      </c>
      <c r="E150" s="22">
        <v>21800008.018726066</v>
      </c>
      <c r="F150" s="22">
        <f>(E150/dane!$B$8)*dane!$L$31</f>
        <v>133229.19186301445</v>
      </c>
      <c r="G150" s="22">
        <f xml:space="preserve"> B150*dane!$B$10</f>
        <v>27.984582932846838</v>
      </c>
    </row>
    <row r="151" spans="1:7">
      <c r="A151" s="22">
        <v>4.5000000000001379E-2</v>
      </c>
      <c r="B151" s="22">
        <v>3.2607696104644791E-2</v>
      </c>
      <c r="C151" s="22">
        <v>1.4584413165016141</v>
      </c>
      <c r="D151" s="22">
        <v>-95.788167160858549</v>
      </c>
      <c r="E151" s="22">
        <v>21848201.860701807</v>
      </c>
      <c r="F151" s="22">
        <f>(E151/dane!$B$8)*dane!$L$31</f>
        <v>133523.72508583189</v>
      </c>
      <c r="G151" s="22">
        <f xml:space="preserve"> B151*dane!$B$10</f>
        <v>28.36869561104097</v>
      </c>
    </row>
    <row r="152" spans="1:7">
      <c r="A152" s="22">
        <v>4.5300000000001395E-2</v>
      </c>
      <c r="B152" s="22">
        <v>3.3040582578369969E-2</v>
      </c>
      <c r="C152" s="22">
        <v>1.429671297177745</v>
      </c>
      <c r="D152" s="22">
        <v>-95.995341875602378</v>
      </c>
      <c r="E152" s="22">
        <v>21895456.0792793</v>
      </c>
      <c r="F152" s="22">
        <f>(E152/dane!$B$8)*dane!$L$31</f>
        <v>133812.51586736692</v>
      </c>
      <c r="G152" s="22">
        <f xml:space="preserve"> B152*dane!$B$10</f>
        <v>28.745306843181872</v>
      </c>
    </row>
    <row r="153" spans="1:7">
      <c r="A153" s="22">
        <v>4.560000000000141E-2</v>
      </c>
      <c r="B153" s="22">
        <v>3.3464828083205257E-2</v>
      </c>
      <c r="C153" s="22">
        <v>1.4008397921256137</v>
      </c>
      <c r="D153" s="22">
        <v>-96.198388128428675</v>
      </c>
      <c r="E153" s="22">
        <v>21941768.64220117</v>
      </c>
      <c r="F153" s="22">
        <f>(E153/dane!$B$8)*dane!$L$31</f>
        <v>134095.55178762373</v>
      </c>
      <c r="G153" s="22">
        <f xml:space="preserve"> B153*dane!$B$10</f>
        <v>29.114400432388575</v>
      </c>
    </row>
    <row r="154" spans="1:7">
      <c r="A154" s="22">
        <v>4.5900000000001426E-2</v>
      </c>
      <c r="B154" s="22">
        <v>3.3880414373667289E-2</v>
      </c>
      <c r="C154" s="22">
        <v>1.3719480412988294</v>
      </c>
      <c r="D154" s="22">
        <v>-96.397297186947839</v>
      </c>
      <c r="E154" s="22">
        <v>21987137.557707727</v>
      </c>
      <c r="F154" s="22">
        <f>(E154/dane!$B$8)*dane!$L$31</f>
        <v>134372.82067410523</v>
      </c>
      <c r="G154" s="22">
        <f xml:space="preserve"> B154*dane!$B$10</f>
        <v>29.475960505090541</v>
      </c>
    </row>
    <row r="155" spans="1:7">
      <c r="A155" s="22">
        <v>4.6200000000001441E-2</v>
      </c>
      <c r="B155" s="22">
        <v>3.4287323576678699E-2</v>
      </c>
      <c r="C155" s="22">
        <v>1.3429972872419849</v>
      </c>
      <c r="D155" s="22">
        <v>-96.592060496698181</v>
      </c>
      <c r="E155" s="22">
        <v>22031560.874622624</v>
      </c>
      <c r="F155" s="22">
        <f>(E155/dane!$B$8)*dane!$L$31</f>
        <v>134644.31060233657</v>
      </c>
      <c r="G155" s="22">
        <f xml:space="preserve"> B155*dane!$B$10</f>
        <v>29.829971511710468</v>
      </c>
    </row>
    <row r="156" spans="1:7">
      <c r="A156" s="22">
        <v>4.6500000000001457E-2</v>
      </c>
      <c r="B156" s="22">
        <v>3.4685538192336718E-2</v>
      </c>
      <c r="C156" s="22">
        <v>1.3139887750372197</v>
      </c>
      <c r="D156" s="22">
        <v>-96.782669681513866</v>
      </c>
      <c r="E156" s="22">
        <v>22075036.68243679</v>
      </c>
      <c r="F156" s="22">
        <f>(E156/dane!$B$8)*dane!$L$31</f>
        <v>134910.00989637797</v>
      </c>
      <c r="G156" s="22">
        <f xml:space="preserve"> B156*dane!$B$10</f>
        <v>30.176418227332945</v>
      </c>
    </row>
    <row r="157" spans="1:7">
      <c r="A157" s="22">
        <v>4.6800000000001472E-2</v>
      </c>
      <c r="B157" s="22">
        <v>3.5075041094665804E-2</v>
      </c>
      <c r="C157" s="22">
        <v>1.2849237522506713</v>
      </c>
      <c r="D157" s="22">
        <v>-96.969116543884994</v>
      </c>
      <c r="E157" s="22">
        <v>22117563.111390568</v>
      </c>
      <c r="F157" s="22">
        <f>(E157/dane!$B$8)*dane!$L$31</f>
        <v>135169.90712932692</v>
      </c>
      <c r="G157" s="22">
        <f xml:space="preserve"> B157*dane!$B$10</f>
        <v>30.515285752359251</v>
      </c>
    </row>
    <row r="158" spans="1:7">
      <c r="A158" s="22">
        <v>4.7100000000001488E-2</v>
      </c>
      <c r="B158" s="22">
        <v>3.5455815532354232E-2</v>
      </c>
      <c r="C158" s="22">
        <v>1.2558034688788231</v>
      </c>
      <c r="D158" s="22">
        <v>-97.15139306531033</v>
      </c>
      <c r="E158" s="22">
        <v>22159138.332554154</v>
      </c>
      <c r="F158" s="22">
        <f>(E158/dane!$B$8)*dane!$L$31</f>
        <v>135423.99112380954</v>
      </c>
      <c r="G158" s="22">
        <f xml:space="preserve"> B158*dane!$B$10</f>
        <v>30.846559513148183</v>
      </c>
    </row>
    <row r="159" spans="1:7">
      <c r="A159" s="22">
        <v>4.7400000000001503E-2</v>
      </c>
      <c r="B159" s="22">
        <v>3.5827845129474414E-2</v>
      </c>
      <c r="C159" s="22">
        <v>1.2266291772947437</v>
      </c>
      <c r="D159" s="22">
        <v>-97.329491406641978</v>
      </c>
      <c r="E159" s="22">
        <v>22199760.557906225</v>
      </c>
      <c r="F159" s="22">
        <f>(E159/dane!$B$8)*dane!$L$31</f>
        <v>135672.25095246118</v>
      </c>
      <c r="G159" s="22">
        <f xml:space="preserve"> B159*dane!$B$10</f>
        <v>31.170225262642742</v>
      </c>
    </row>
    <row r="160" spans="1:7">
      <c r="A160" s="22">
        <v>4.7700000000001519E-2</v>
      </c>
      <c r="B160" s="22">
        <v>3.6191113886187253E-2</v>
      </c>
      <c r="C160" s="22">
        <v>1.1974021321942285</v>
      </c>
      <c r="D160" s="22">
        <v>-97.50340390842274</v>
      </c>
      <c r="E160" s="22">
        <v>22239428.040410873</v>
      </c>
      <c r="F160" s="22">
        <f>(E160/dane!$B$8)*dane!$L$31</f>
        <v>135914.67593839674</v>
      </c>
      <c r="G160" s="22">
        <f xml:space="preserve"> B160*dane!$B$10</f>
        <v>31.486269080982911</v>
      </c>
    </row>
    <row r="161" spans="1:7">
      <c r="A161" s="22">
        <v>4.8000000000001534E-2</v>
      </c>
      <c r="B161" s="22">
        <v>3.6545606179430222E-2</v>
      </c>
      <c r="C161" s="22">
        <v>1.1681235905418375</v>
      </c>
      <c r="D161" s="22">
        <v>-97.67312309121526</v>
      </c>
      <c r="E161" s="22">
        <v>22278139.074092697</v>
      </c>
      <c r="F161" s="22">
        <f>(E161/dane!$B$8)*dane!$L$31</f>
        <v>136151.25565566937</v>
      </c>
      <c r="G161" s="22">
        <f xml:space="preserve"> B161*dane!$B$10</f>
        <v>31.794677376104293</v>
      </c>
    </row>
    <row r="162" spans="1:7">
      <c r="A162" s="22">
        <v>4.830000000000155E-2</v>
      </c>
      <c r="B162" s="22">
        <v>3.6891306763589295E-2</v>
      </c>
      <c r="C162" s="22">
        <v>1.1387948115168369</v>
      </c>
      <c r="D162" s="22">
        <v>-97.838641655923908</v>
      </c>
      <c r="E162" s="22">
        <v>22315891.994110212</v>
      </c>
      <c r="F162" s="22">
        <f>(E162/dane!$B$8)*dane!$L$31</f>
        <v>136381.97992971927</v>
      </c>
      <c r="G162" s="22">
        <f xml:space="preserve"> B162*dane!$B$10</f>
        <v>32.095436884322687</v>
      </c>
    </row>
    <row r="163" spans="1:7">
      <c r="A163" s="22">
        <v>4.8600000000001566E-2</v>
      </c>
      <c r="B163" s="22">
        <v>3.7228200771154553E-2</v>
      </c>
      <c r="C163" s="22">
        <v>1.1094170564590475</v>
      </c>
      <c r="D163" s="22">
        <v>-97.999952484108547</v>
      </c>
      <c r="E163" s="22">
        <v>22352685.176827412</v>
      </c>
      <c r="F163" s="22">
        <f>(E163/dane!$B$8)*dane!$L$31</f>
        <v>136606.83883781097</v>
      </c>
      <c r="G163" s="22">
        <f xml:space="preserve"> B163*dane!$B$10</f>
        <v>32.388534670904463</v>
      </c>
    </row>
    <row r="164" spans="1:7">
      <c r="A164" s="22">
        <v>4.8900000000001581E-2</v>
      </c>
      <c r="B164" s="22">
        <v>3.7556273713359643E-2</v>
      </c>
      <c r="C164" s="22">
        <v>1.0799915888145972</v>
      </c>
      <c r="D164" s="22">
        <v>-98.157048638290846</v>
      </c>
      <c r="E164" s="22">
        <v>22388517.039883636</v>
      </c>
      <c r="F164" s="22">
        <f>(E164/dane!$B$8)*dane!$L$31</f>
        <v>136825.82270946028</v>
      </c>
      <c r="G164" s="22">
        <f xml:space="preserve"> B164*dane!$B$10</f>
        <v>32.673958130622893</v>
      </c>
    </row>
    <row r="165" spans="1:7">
      <c r="A165" s="22">
        <v>4.9200000000001597E-2</v>
      </c>
      <c r="B165" s="22">
        <v>3.7875511480804848E-2</v>
      </c>
      <c r="C165" s="22">
        <v>1.0505196740815843</v>
      </c>
      <c r="D165" s="22">
        <v>-98.309923362252391</v>
      </c>
      <c r="E165" s="22">
        <v>22423386.042261582</v>
      </c>
      <c r="F165" s="22">
        <f>(E165/dane!$B$8)*dane!$L$31</f>
        <v>137038.92212685006</v>
      </c>
      <c r="G165" s="22">
        <f xml:space="preserve"> B165*dane!$B$10</f>
        <v>32.951694988300218</v>
      </c>
    </row>
    <row r="166" spans="1:7">
      <c r="A166" s="22">
        <v>4.9500000000001612E-2</v>
      </c>
      <c r="B166" s="22">
        <v>3.8185900344063925E-2</v>
      </c>
      <c r="C166" s="22">
        <v>1.0210025797556519</v>
      </c>
      <c r="D166" s="22">
        <v>-98.45857008132549</v>
      </c>
      <c r="E166" s="22">
        <v>22457290.684353609</v>
      </c>
      <c r="F166" s="22">
        <f>(E166/dane!$B$8)*dane!$L$31</f>
        <v>137246.12792523534</v>
      </c>
      <c r="G166" s="22">
        <f xml:space="preserve"> B166*dane!$B$10</f>
        <v>33.221733299335618</v>
      </c>
    </row>
    <row r="167" spans="1:7">
      <c r="A167" s="22">
        <v>4.9800000000001628E-2</v>
      </c>
      <c r="B167" s="22">
        <v>3.8487426954274553E-2</v>
      </c>
      <c r="C167" s="22">
        <v>0.99144157527547805</v>
      </c>
      <c r="D167" s="22">
        <v>-98.602982402675764</v>
      </c>
      <c r="E167" s="22">
        <v>22490229.508026212</v>
      </c>
      <c r="F167" s="22">
        <f>(E167/dane!$B$8)*dane!$L$31</f>
        <v>137447.43119333734</v>
      </c>
      <c r="G167" s="22">
        <f xml:space="preserve"> B167*dane!$B$10</f>
        <v>33.48406145021886</v>
      </c>
    </row>
    <row r="168" spans="1:7">
      <c r="A168" s="22">
        <v>5.0100000000001643E-2</v>
      </c>
      <c r="B168" s="22">
        <v>3.878007834371245E-2</v>
      </c>
      <c r="C168" s="22">
        <v>0.96183793196817935</v>
      </c>
      <c r="D168" s="22">
        <v>-98.743154115577227</v>
      </c>
      <c r="E168" s="22">
        <v>22522201.096682757</v>
      </c>
      <c r="F168" s="22">
        <f>(E168/dane!$B$8)*dane!$L$31</f>
        <v>137642.82327372691</v>
      </c>
      <c r="G168" s="22">
        <f xml:space="preserve"> B168*dane!$B$10</f>
        <v>33.738668159029828</v>
      </c>
    </row>
    <row r="169" spans="1:7">
      <c r="A169" s="22">
        <v>5.0400000000001659E-2</v>
      </c>
      <c r="B169" s="22">
        <v>3.9063841926349041E-2</v>
      </c>
      <c r="C169" s="22">
        <v>0.93219292299463663</v>
      </c>
      <c r="D169" s="22">
        <v>-98.87907919167921</v>
      </c>
      <c r="E169" s="22">
        <v>22553204.075324371</v>
      </c>
      <c r="F169" s="22">
        <f>(E169/dane!$B$8)*dane!$L$31</f>
        <v>137832.29576319666</v>
      </c>
      <c r="G169" s="22">
        <f xml:space="preserve"> B169*dane!$B$10</f>
        <v>33.985542475923666</v>
      </c>
    </row>
    <row r="170" spans="1:7">
      <c r="A170" s="22">
        <v>5.0700000000001674E-2</v>
      </c>
      <c r="B170" s="22">
        <v>3.9338705498392738E-2</v>
      </c>
      <c r="C170" s="22">
        <v>0.90250782329473989</v>
      </c>
      <c r="D170" s="22">
        <v>-99.010751785265796</v>
      </c>
      <c r="E170" s="22">
        <v>22583237.110609103</v>
      </c>
      <c r="F170" s="22">
        <f>(E170/dane!$B$8)*dane!$L$31</f>
        <v>138015.84051312247</v>
      </c>
      <c r="G170" s="22">
        <f xml:space="preserve"> B170*dane!$B$10</f>
        <v>34.224673783601681</v>
      </c>
    </row>
    <row r="171" spans="1:7">
      <c r="A171" s="22">
        <v>5.100000000000169E-2</v>
      </c>
      <c r="B171" s="22">
        <v>3.960465723881381E-2</v>
      </c>
      <c r="C171" s="22">
        <v>0.87278390953255658</v>
      </c>
      <c r="D171" s="22">
        <v>-99.138166233507121</v>
      </c>
      <c r="E171" s="22">
        <v>22612298.910909254</v>
      </c>
      <c r="F171" s="22">
        <f>(E171/dane!$B$8)*dane!$L$31</f>
        <v>138193.44962981399</v>
      </c>
      <c r="G171" s="22">
        <f xml:space="preserve"> B171*dane!$B$10</f>
        <v>34.456051797768012</v>
      </c>
    </row>
    <row r="172" spans="1:7">
      <c r="A172" s="22">
        <v>5.1300000000001705E-2</v>
      </c>
      <c r="B172" s="22">
        <v>3.9861685709852795E-2</v>
      </c>
      <c r="C172" s="22">
        <v>0.843022460041427</v>
      </c>
      <c r="D172" s="22">
        <v>-99.261317056702936</v>
      </c>
      <c r="E172" s="22">
        <v>22640388.22636693</v>
      </c>
      <c r="F172" s="22">
        <f>(E172/dane!$B$8)*dane!$L$31</f>
        <v>138365.1154748539</v>
      </c>
      <c r="G172" s="22">
        <f xml:space="preserve"> B172*dane!$B$10</f>
        <v>34.679666567571935</v>
      </c>
    </row>
    <row r="173" spans="1:7">
      <c r="A173" s="22">
        <v>5.1600000000001721E-2</v>
      </c>
      <c r="B173" s="22">
        <v>4.0109779857512316E-2</v>
      </c>
      <c r="C173" s="22">
        <v>0.81322475476898615</v>
      </c>
      <c r="D173" s="22">
        <v>-99.380198958518349</v>
      </c>
      <c r="E173" s="22">
        <v>22667503.848947801</v>
      </c>
      <c r="F173" s="22">
        <f>(E173/dane!$B$8)*dane!$L$31</f>
        <v>138530.83066542671</v>
      </c>
      <c r="G173" s="22">
        <f xml:space="preserve"> B173*dane!$B$10</f>
        <v>34.895508476035715</v>
      </c>
    </row>
    <row r="174" spans="1:7">
      <c r="A174" s="22">
        <v>5.1900000000001736E-2</v>
      </c>
      <c r="B174" s="22">
        <v>4.0348929012032596E-2</v>
      </c>
      <c r="C174" s="22">
        <v>0.7833920752221184</v>
      </c>
      <c r="D174" s="22">
        <v>-99.49480682621143</v>
      </c>
      <c r="E174" s="22">
        <v>22693644.612493031</v>
      </c>
      <c r="F174" s="22">
        <f>(E174/dane!$B$8)*dane!$L$31</f>
        <v>138690.58807463601</v>
      </c>
      <c r="G174" s="22">
        <f xml:space="preserve"> B174*dane!$B$10</f>
        <v>35.103568240468356</v>
      </c>
    </row>
    <row r="175" spans="1:7">
      <c r="A175" s="22">
        <v>5.2200000000001752E-2</v>
      </c>
      <c r="B175" s="22">
        <v>4.0579122888350201E-2</v>
      </c>
      <c r="C175" s="22">
        <v>0.75352570441184274</v>
      </c>
      <c r="D175" s="22">
        <v>-99.605135730853277</v>
      </c>
      <c r="E175" s="22">
        <v>22718809.392769463</v>
      </c>
      <c r="F175" s="22">
        <f>(E175/dane!$B$8)*dane!$L$31</f>
        <v>138844.38083181111</v>
      </c>
      <c r="G175" s="22">
        <f xml:space="preserve"> B175*dane!$B$10</f>
        <v>35.303836912864675</v>
      </c>
    </row>
    <row r="176" spans="1:7">
      <c r="A176" s="22">
        <v>5.2500000000001767E-2</v>
      </c>
      <c r="B176" s="22">
        <v>4.0800351586540509E-2</v>
      </c>
      <c r="C176" s="22">
        <v>0.7236269267981349</v>
      </c>
      <c r="D176" s="22">
        <v>-99.711180927539885</v>
      </c>
      <c r="E176" s="22">
        <v>22742997.107517947</v>
      </c>
      <c r="F176" s="22">
        <f>(E176/dane!$B$8)*dane!$L$31</f>
        <v>138992.20232280254</v>
      </c>
      <c r="G176" s="22">
        <f xml:space="preserve"> B176*dane!$B$10</f>
        <v>35.496305880290244</v>
      </c>
    </row>
    <row r="177" spans="1:7">
      <c r="A177" s="22">
        <v>5.2800000000001783E-2</v>
      </c>
      <c r="B177" s="22">
        <v>4.1012605592243345E-2</v>
      </c>
      <c r="C177" s="22">
        <v>0.69369702823468671</v>
      </c>
      <c r="D177" s="22">
        <v>-99.81293785559626</v>
      </c>
      <c r="E177" s="22">
        <v>22766206.716499891</v>
      </c>
      <c r="F177" s="22">
        <f>(E177/dane!$B$8)*dane!$L$31</f>
        <v>139134.04619026647</v>
      </c>
      <c r="G177" s="22">
        <f xml:space="preserve"> B177*dane!$B$10</f>
        <v>35.680966865251712</v>
      </c>
    </row>
    <row r="178" spans="1:7">
      <c r="A178" s="22">
        <v>5.3100000000001799E-2</v>
      </c>
      <c r="B178" s="22">
        <v>4.121587577707226E-2</v>
      </c>
      <c r="C178" s="22">
        <v>0.66373729591360575</v>
      </c>
      <c r="D178" s="22">
        <v>-99.910402138772525</v>
      </c>
      <c r="E178" s="22">
        <v>22788437.221541997</v>
      </c>
      <c r="F178" s="22">
        <f>(E178/dane!$B$8)*dane!$L$31</f>
        <v>139269.9063339381</v>
      </c>
      <c r="G178" s="22">
        <f xml:space="preserve"> B178*dane!$B$10</f>
        <v>35.857811926052868</v>
      </c>
    </row>
    <row r="179" spans="1:7">
      <c r="A179" s="22">
        <v>5.3400000000001814E-2</v>
      </c>
      <c r="B179" s="22">
        <v>4.1410153399007048E-2</v>
      </c>
      <c r="C179" s="22">
        <v>0.63374901831005681</v>
      </c>
      <c r="D179" s="22">
        <v>-100.00356958543217</v>
      </c>
      <c r="E179" s="22">
        <v>22809687.666579198</v>
      </c>
      <c r="F179" s="22">
        <f>(E179/dane!$B$8)*dane!$L$31</f>
        <v>139399.77691089403</v>
      </c>
      <c r="G179" s="22">
        <f xml:space="preserve"> B179*dane!$B$10</f>
        <v>36.026833457136135</v>
      </c>
    </row>
    <row r="180" spans="1:7">
      <c r="A180" s="22">
        <v>5.370000000000183E-2</v>
      </c>
      <c r="B180" s="22">
        <v>4.1595430102769747E-2</v>
      </c>
      <c r="C180" s="22">
        <v>0.6037334851268491</v>
      </c>
      <c r="D180" s="22">
        <v>-100.09243618873225</v>
      </c>
      <c r="E180" s="22">
        <v>22829957.137695756</v>
      </c>
      <c r="F180" s="22">
        <f>(E180/dane!$B$8)*dane!$L$31</f>
        <v>139523.65233580349</v>
      </c>
      <c r="G180" s="22">
        <f xml:space="preserve"> B180*dane!$B$10</f>
        <v>36.188024189409681</v>
      </c>
    </row>
    <row r="181" spans="1:7">
      <c r="A181" s="22">
        <v>5.4000000000001845E-2</v>
      </c>
      <c r="B181" s="22">
        <v>4.1771697920184002E-2</v>
      </c>
      <c r="C181" s="22">
        <v>0.5736919872389693</v>
      </c>
      <c r="D181" s="22">
        <v>-100.17699812679581</v>
      </c>
      <c r="E181" s="22">
        <v>22849244.763164591</v>
      </c>
      <c r="F181" s="22">
        <f>(E181/dane!$B$8)*dane!$L$31</f>
        <v>139641.52728116873</v>
      </c>
      <c r="G181" s="22">
        <f xml:space="preserve"> B181*dane!$B$10</f>
        <v>36.341377190560081</v>
      </c>
    </row>
    <row r="182" spans="1:7">
      <c r="A182" s="22">
        <v>5.4300000000001861E-2</v>
      </c>
      <c r="B182" s="22">
        <v>4.1938949270517667E-2</v>
      </c>
      <c r="C182" s="22">
        <v>0.54362581663806542</v>
      </c>
      <c r="D182" s="22">
        <v>-100.25725176287615</v>
      </c>
      <c r="E182" s="22">
        <v>22867549.713484749</v>
      </c>
      <c r="F182" s="22">
        <f>(E182/dane!$B$8)*dane!$L$31</f>
        <v>139753.39667755394</v>
      </c>
      <c r="G182" s="22">
        <f xml:space="preserve"> B182*dane!$B$10</f>
        <v>36.486885865350374</v>
      </c>
    </row>
    <row r="183" spans="1:7">
      <c r="A183" s="22">
        <v>5.4600000000001876E-2</v>
      </c>
      <c r="B183" s="22">
        <v>4.2097176960808926E-2</v>
      </c>
      <c r="C183" s="22">
        <v>0.51353626637688299</v>
      </c>
      <c r="D183" s="22">
        <v>-100.33319364551329</v>
      </c>
      <c r="E183" s="22">
        <v>22884871.201417092</v>
      </c>
      <c r="F183" s="22">
        <f>(E183/dane!$B$8)*dane!$L$31</f>
        <v>139859.25571380332</v>
      </c>
      <c r="G183" s="22">
        <f xml:space="preserve"> B183*dane!$B$10</f>
        <v>36.624543955903768</v>
      </c>
    </row>
    <row r="184" spans="1:7">
      <c r="A184" s="22">
        <v>5.4900000000001892E-2</v>
      </c>
      <c r="B184" s="22">
        <v>4.2246374186175578E-2</v>
      </c>
      <c r="C184" s="22">
        <v>0.48342463051365375</v>
      </c>
      <c r="D184" s="22">
        <v>-100.40482050868243</v>
      </c>
      <c r="E184" s="22">
        <v>22901208.482018154</v>
      </c>
      <c r="F184" s="22">
        <f>(E184/dane!$B$8)*dane!$L$31</f>
        <v>139959.0998372481</v>
      </c>
      <c r="G184" s="22">
        <f xml:space="preserve"> B184*dane!$B$10</f>
        <v>36.754345541972754</v>
      </c>
    </row>
    <row r="185" spans="1:7">
      <c r="A185" s="22">
        <v>5.5200000000001907E-2</v>
      </c>
      <c r="B185" s="22">
        <v>4.2386534530107683E-2</v>
      </c>
      <c r="C185" s="22">
        <v>0.45329220405644255</v>
      </c>
      <c r="D185" s="22">
        <v>-100.47212927193432</v>
      </c>
      <c r="E185" s="22">
        <v>22916560.85267216</v>
      </c>
      <c r="F185" s="22">
        <f>(E185/dane!$B$8)*dane!$L$31</f>
        <v>140052.92475390213</v>
      </c>
      <c r="G185" s="22">
        <f xml:space="preserve"> B185*dane!$B$10</f>
        <v>36.876285041193682</v>
      </c>
    </row>
    <row r="186" spans="1:7">
      <c r="A186" s="22">
        <v>5.5500000000001923E-2</v>
      </c>
      <c r="B186" s="22">
        <v>4.2517651964743587E-2</v>
      </c>
      <c r="C186" s="22">
        <v>0.42314028290745342</v>
      </c>
      <c r="D186" s="22">
        <v>-100.53511704052781</v>
      </c>
      <c r="E186" s="22">
        <v>22930927.653121267</v>
      </c>
      <c r="F186" s="22">
        <f>(E186/dane!$B$8)*dane!$L$31</f>
        <v>140140.72642864683</v>
      </c>
      <c r="G186" s="22">
        <f xml:space="preserve"> B186*dane!$B$10</f>
        <v>36.990357209326923</v>
      </c>
    </row>
    <row r="187" spans="1:7">
      <c r="A187" s="22">
        <v>5.5800000000001938E-2</v>
      </c>
      <c r="B187" s="22">
        <v>4.263972085112909E-2</v>
      </c>
      <c r="C187" s="22">
        <v>0.39297016380729671</v>
      </c>
      <c r="D187" s="22">
        <v>-100.59378110555434</v>
      </c>
      <c r="E187" s="22">
        <v>22944308.265493948</v>
      </c>
      <c r="F187" s="22">
        <f>(E187/dane!$B$8)*dane!$L$31</f>
        <v>140222.50108540442</v>
      </c>
      <c r="G187" s="22">
        <f xml:space="preserve"> B187*dane!$B$10</f>
        <v>37.096557140482311</v>
      </c>
    </row>
    <row r="188" spans="1:7">
      <c r="A188" s="22">
        <v>5.6100000000001954E-2</v>
      </c>
      <c r="B188" s="22">
        <v>4.275273593946001E-2</v>
      </c>
      <c r="C188" s="22">
        <v>0.36278314427922032</v>
      </c>
      <c r="D188" s="22">
        <v>-100.64811894405443</v>
      </c>
      <c r="E188" s="22">
        <v>22956702.114331566</v>
      </c>
      <c r="F188" s="22">
        <f>(E188/dane!$B$8)*dane!$L$31</f>
        <v>140298.24520730061</v>
      </c>
      <c r="G188" s="22">
        <f xml:space="preserve"> B188*dane!$B$10</f>
        <v>37.194880267330205</v>
      </c>
    </row>
    <row r="189" spans="1:7">
      <c r="A189" s="22">
        <v>5.6400000000001969E-2</v>
      </c>
      <c r="B189" s="22">
        <v>4.2856692369307899E-2</v>
      </c>
      <c r="C189" s="22">
        <v>0.33258052257330656</v>
      </c>
      <c r="D189" s="22">
        <v>-100.69812821912619</v>
      </c>
      <c r="E189" s="22">
        <v>22968108.666613124</v>
      </c>
      <c r="F189" s="22">
        <f>(E189/dane!$B$8)*dane!$L$31</f>
        <v>140367.95553681563</v>
      </c>
      <c r="G189" s="22">
        <f xml:space="preserve"> B189*dane!$B$10</f>
        <v>37.285322361297872</v>
      </c>
    </row>
    <row r="190" spans="1:7">
      <c r="A190" s="22">
        <v>5.6700000000001985E-2</v>
      </c>
      <c r="B190" s="22">
        <v>4.2951585669829144E-2</v>
      </c>
      <c r="C190" s="22">
        <v>0.30236359761063958</v>
      </c>
      <c r="D190" s="22">
        <v>-100.74380678002578</v>
      </c>
      <c r="E190" s="22">
        <v>22978527.431778185</v>
      </c>
      <c r="F190" s="22">
        <f>(E190/dane!$B$8)*dane!$L$31</f>
        <v>140431.6290759244</v>
      </c>
      <c r="G190" s="22">
        <f xml:space="preserve"> B190*dane!$B$10</f>
        <v>37.367879532751353</v>
      </c>
    </row>
    <row r="191" spans="1:7">
      <c r="A191" s="22">
        <v>5.7000000000002E-2</v>
      </c>
      <c r="B191" s="22">
        <v>4.303741175995722E-2</v>
      </c>
      <c r="C191" s="22">
        <v>0.2721336689274419</v>
      </c>
      <c r="D191" s="22">
        <v>-100.78515266225997</v>
      </c>
      <c r="E191" s="22">
        <v>22987957.961747974</v>
      </c>
      <c r="F191" s="22">
        <f>(E191/dane!$B$8)*dane!$L$31</f>
        <v>140489.26308622549</v>
      </c>
      <c r="G191" s="22">
        <f xml:space="preserve"> B191*dane!$B$10</f>
        <v>37.442548231162782</v>
      </c>
    </row>
    <row r="192" spans="1:7">
      <c r="A192" s="22">
        <v>5.7300000000002016E-2</v>
      </c>
      <c r="B192" s="22">
        <v>4.3114166948578163E-2</v>
      </c>
      <c r="C192" s="22">
        <v>0.24189203661918593</v>
      </c>
      <c r="D192" s="22">
        <v>-100.82216408767063</v>
      </c>
      <c r="E192" s="22">
        <v>22996399.850944646</v>
      </c>
      <c r="F192" s="22">
        <f>(E192/dane!$B$8)*dane!$L$31</f>
        <v>140540.85508905884</v>
      </c>
      <c r="G192" s="22">
        <f xml:space="preserve"> B192*dane!$B$10</f>
        <v>37.509325245263</v>
      </c>
    </row>
    <row r="193" spans="1:7">
      <c r="A193" s="22">
        <v>5.7600000000002032E-2</v>
      </c>
      <c r="B193" s="22">
        <v>4.3181847934689398E-2</v>
      </c>
      <c r="C193" s="22">
        <v>0.21164000128468069</v>
      </c>
      <c r="D193" s="22">
        <v>-100.85483946451113</v>
      </c>
      <c r="E193" s="22">
        <v>23003852.736308731</v>
      </c>
      <c r="F193" s="22">
        <f>(E193/dane!$B$8)*dane!$L$31</f>
        <v>140586.4028656125</v>
      </c>
      <c r="G193" s="22">
        <f xml:space="preserve"> B193*dane!$B$10</f>
        <v>37.568207703179773</v>
      </c>
    </row>
    <row r="194" spans="1:7">
      <c r="A194" s="22">
        <v>5.7900000000002047E-2</v>
      </c>
      <c r="B194" s="22">
        <v>4.3240451807541595E-2</v>
      </c>
      <c r="C194" s="22">
        <v>0.181378863970137</v>
      </c>
      <c r="D194" s="22">
        <v>-100.88317738751483</v>
      </c>
      <c r="E194" s="22">
        <v>23010316.297314741</v>
      </c>
      <c r="F194" s="22">
        <f>(E194/dane!$B$8)*dane!$L$31</f>
        <v>140625.90445701781</v>
      </c>
      <c r="G194" s="22">
        <f xml:space="preserve"> B194*dane!$B$10</f>
        <v>37.619193072561188</v>
      </c>
    </row>
    <row r="195" spans="1:7">
      <c r="A195" s="22">
        <v>5.8200000000002063E-2</v>
      </c>
      <c r="B195" s="22">
        <v>4.3289976046763969E-2</v>
      </c>
      <c r="C195" s="22">
        <v>0.15110992611321361</v>
      </c>
      <c r="D195" s="22">
        <v>-100.9071766379556</v>
      </c>
      <c r="E195" s="22">
        <v>23015790.255984969</v>
      </c>
      <c r="F195" s="22">
        <f>(E195/dane!$B$8)*dane!$L$31</f>
        <v>140659.35816443386</v>
      </c>
      <c r="G195" s="22">
        <f xml:space="preserve"> B195*dane!$B$10</f>
        <v>37.662279160684655</v>
      </c>
    </row>
    <row r="196" spans="1:7">
      <c r="A196" s="22">
        <v>5.8500000000002078E-2</v>
      </c>
      <c r="B196" s="22">
        <v>4.3330418522472609E-2</v>
      </c>
      <c r="C196" s="22">
        <v>0.1208344894870465</v>
      </c>
      <c r="D196" s="22">
        <v>-100.92683618370012</v>
      </c>
      <c r="E196" s="22">
        <v>23020274.376901433</v>
      </c>
      <c r="F196" s="22">
        <f>(E196/dane!$B$8)*dane!$L$31</f>
        <v>140686.76254912047</v>
      </c>
      <c r="G196" s="22">
        <f xml:space="preserve"> B196*dane!$B$10</f>
        <v>37.697464114551167</v>
      </c>
    </row>
    <row r="197" spans="1:7">
      <c r="A197" s="22">
        <v>5.8800000000002094E-2</v>
      </c>
      <c r="B197" s="22">
        <v>4.3361777495362047E-2</v>
      </c>
      <c r="C197" s="22">
        <v>9.055385614426345E-2</v>
      </c>
      <c r="D197" s="22">
        <v>-100.94215517925224</v>
      </c>
      <c r="E197" s="22">
        <v>23023768.467215993</v>
      </c>
      <c r="F197" s="22">
        <f>(E197/dane!$B$8)*dane!$L$31</f>
        <v>140708.11643250001</v>
      </c>
      <c r="G197" s="22">
        <f xml:space="preserve"> B197*dane!$B$10</f>
        <v>37.724746420964983</v>
      </c>
    </row>
    <row r="198" spans="1:7">
      <c r="A198" s="22">
        <v>5.9100000000002109E-2</v>
      </c>
      <c r="B198" s="22">
        <v>4.3384051616780127E-2</v>
      </c>
      <c r="C198" s="22">
        <v>6.0269328360987029E-2</v>
      </c>
      <c r="D198" s="22">
        <v>-100.95313296578952</v>
      </c>
      <c r="E198" s="22">
        <v>23026272.376658663</v>
      </c>
      <c r="F198" s="22">
        <f>(E198/dane!$B$8)*dane!$L$31</f>
        <v>140723.41889620823</v>
      </c>
      <c r="G198" s="22">
        <f xml:space="preserve"> B198*dane!$B$10</f>
        <v>37.744124906598714</v>
      </c>
    </row>
    <row r="199" spans="1:7">
      <c r="A199" s="22">
        <v>5.9400000000002125E-2</v>
      </c>
      <c r="B199" s="22">
        <v>4.339723992878599E-2</v>
      </c>
      <c r="C199" s="22">
        <v>2.9982208580827462E-2</v>
      </c>
      <c r="D199" s="22">
        <v>-100.95976907119143</v>
      </c>
      <c r="E199" s="22">
        <v>23027785.997544073</v>
      </c>
      <c r="F199" s="22">
        <f>(E199/dane!$B$8)*dane!$L$31</f>
        <v>140732.66928213363</v>
      </c>
      <c r="G199" s="22">
        <f xml:space="preserve"> B199*dane!$B$10</f>
        <v>37.755598738043808</v>
      </c>
    </row>
    <row r="200" spans="1:7">
      <c r="A200" s="22">
        <v>5.970000000000214E-2</v>
      </c>
      <c r="B200" s="22">
        <v>4.3401341864191208E-2</v>
      </c>
      <c r="C200" s="22">
        <v>-3.0620064113116505E-4</v>
      </c>
      <c r="D200" s="22">
        <v>-100.96206321005961</v>
      </c>
      <c r="E200" s="22">
        <v>23028309.26477607</v>
      </c>
      <c r="F200" s="22">
        <f>(E200/dane!$B$8)*dane!$L$31</f>
        <v>140735.86719244576</v>
      </c>
      <c r="G200" s="22">
        <f xml:space="preserve"> B200*dane!$B$10</f>
        <v>37.75916742184635</v>
      </c>
    </row>
    <row r="201" spans="1:7">
      <c r="A201" s="22">
        <v>6.0000000000002156E-2</v>
      </c>
      <c r="B201" s="22">
        <v>4.3396357246584291E-2</v>
      </c>
      <c r="C201" s="22">
        <v>-3.0594596694349916E-2</v>
      </c>
      <c r="D201" s="22">
        <v>-100.96001528373029</v>
      </c>
      <c r="E201" s="22">
        <v>23027842.155850563</v>
      </c>
      <c r="F201" s="22">
        <f>(E201/dane!$B$8)*dane!$L$31</f>
        <v>140733.01248961245</v>
      </c>
      <c r="G201" s="22">
        <f xml:space="preserve"> B201*dane!$B$10</f>
        <v>37.754830804528332</v>
      </c>
    </row>
    <row r="202" spans="1:7">
      <c r="A202" s="22">
        <v>6.0300000000002171E-2</v>
      </c>
      <c r="B202" s="22">
        <v>4.3382286290338169E-2</v>
      </c>
      <c r="C202" s="22">
        <v>-6.0881676968856206E-2</v>
      </c>
      <c r="D202" s="22">
        <v>-100.95362538027841</v>
      </c>
      <c r="E202" s="22">
        <v>23026384.690856453</v>
      </c>
      <c r="F202" s="22">
        <f>(E202/dane!$B$8)*dane!$L$31</f>
        <v>140724.10529640559</v>
      </c>
      <c r="G202" s="22">
        <f xml:space="preserve"> B202*dane!$B$10</f>
        <v>37.742589072594207</v>
      </c>
    </row>
    <row r="203" spans="1:7">
      <c r="A203" s="22">
        <v>6.0600000000002187E-2</v>
      </c>
      <c r="B203" s="22">
        <v>4.3359129600601017E-2</v>
      </c>
      <c r="C203" s="22">
        <v>-9.116613891126496E-2</v>
      </c>
      <c r="D203" s="22">
        <v>-100.94289377451393</v>
      </c>
      <c r="E203" s="22">
        <v>23023936.932474792</v>
      </c>
      <c r="F203" s="22">
        <f>(E203/dane!$B$8)*dane!$L$31</f>
        <v>140709.14599589593</v>
      </c>
      <c r="G203" s="22">
        <f xml:space="preserve"> B203*dane!$B$10</f>
        <v>37.722442752522888</v>
      </c>
    </row>
    <row r="204" spans="1:7">
      <c r="A204" s="22">
        <v>6.0900000000002202E-2</v>
      </c>
      <c r="B204" s="22">
        <v>4.3326888173270253E-2</v>
      </c>
      <c r="C204" s="22">
        <v>-0.12144668008079758</v>
      </c>
      <c r="D204" s="22">
        <v>-100.9278209279699</v>
      </c>
      <c r="E204" s="22">
        <v>23020498.985976074</v>
      </c>
      <c r="F204" s="22">
        <f>(E204/dane!$B$8)*dane!$L$31</f>
        <v>140688.13523143664</v>
      </c>
      <c r="G204" s="22">
        <f xml:space="preserve"> B204*dane!$B$10</f>
        <v>37.69439271074512</v>
      </c>
    </row>
    <row r="205" spans="1:7">
      <c r="A205" s="22">
        <v>6.1200000000002218E-2</v>
      </c>
      <c r="B205" s="22">
        <v>4.3285563394949669E-2</v>
      </c>
      <c r="C205" s="22">
        <v>-0.15172199820529556</v>
      </c>
      <c r="D205" s="22">
        <v>-100.90840748888272</v>
      </c>
      <c r="E205" s="22">
        <v>23016070.999215715</v>
      </c>
      <c r="F205" s="22">
        <f>(E205/dane!$B$8)*dane!$L$31</f>
        <v>140661.07390663549</v>
      </c>
      <c r="G205" s="22">
        <f xml:space="preserve"> B205*dane!$B$10</f>
        <v>37.658440153606215</v>
      </c>
    </row>
    <row r="206" spans="1:7">
      <c r="A206" s="22">
        <v>6.1500000000002233E-2</v>
      </c>
      <c r="B206" s="22">
        <v>4.3235157042889799E-2</v>
      </c>
      <c r="C206" s="22">
        <v>-0.18199079123722756</v>
      </c>
      <c r="D206" s="22">
        <v>-100.88465429216417</v>
      </c>
      <c r="E206" s="22">
        <v>23010653.162627693</v>
      </c>
      <c r="F206" s="22">
        <f>(E206/dane!$B$8)*dane!$L$31</f>
        <v>140627.96318531613</v>
      </c>
      <c r="G206" s="22">
        <f xml:space="preserve"> B206*dane!$B$10</f>
        <v>37.614586627314125</v>
      </c>
    </row>
    <row r="207" spans="1:7">
      <c r="A207" s="22">
        <v>6.1800000000002249E-2</v>
      </c>
      <c r="B207" s="22">
        <v>4.3175671284911524E-2</v>
      </c>
      <c r="C207" s="22">
        <v>-0.21225175740968608</v>
      </c>
      <c r="D207" s="22">
        <v>-100.8565623593656</v>
      </c>
      <c r="E207" s="22">
        <v>23004245.709216356</v>
      </c>
      <c r="F207" s="22">
        <f>(E207/dane!$B$8)*dane!$L$31</f>
        <v>140588.80449146795</v>
      </c>
      <c r="G207" s="22">
        <f xml:space="preserve"> B207*dane!$B$10</f>
        <v>37.562834017873023</v>
      </c>
    </row>
    <row r="208" spans="1:7">
      <c r="A208" s="22">
        <v>6.2100000000002264E-2</v>
      </c>
      <c r="B208" s="22">
        <v>4.3107108679312778E-2</v>
      </c>
      <c r="C208" s="22">
        <v>-0.24250359529237264</v>
      </c>
      <c r="D208" s="22">
        <v>-100.82413289863389</v>
      </c>
      <c r="E208" s="22">
        <v>22996848.914546404</v>
      </c>
      <c r="F208" s="22">
        <f>(E208/dane!$B$8)*dane!$L$31</f>
        <v>140543.59950918503</v>
      </c>
      <c r="G208" s="22">
        <f xml:space="preserve"> B208*dane!$B$10</f>
        <v>37.503184551002114</v>
      </c>
    </row>
    <row r="209" spans="1:7">
      <c r="A209" s="22">
        <v>6.240000000000228E-2</v>
      </c>
      <c r="B209" s="22">
        <v>4.3029472174758575E-2</v>
      </c>
      <c r="C209" s="22">
        <v>-0.27274500384756806</v>
      </c>
      <c r="D209" s="22">
        <v>-100.78736730465957</v>
      </c>
      <c r="E209" s="22">
        <v>22988463.096731029</v>
      </c>
      <c r="F209" s="22">
        <f>(E209/dane!$B$8)*dane!$L$31</f>
        <v>140492.35018259336</v>
      </c>
      <c r="G209" s="22">
        <f xml:space="preserve"> B209*dane!$B$10</f>
        <v>37.435640792039962</v>
      </c>
    </row>
    <row r="210" spans="1:7">
      <c r="A210" s="22">
        <v>6.270000000000224E-2</v>
      </c>
      <c r="B210" s="22">
        <v>4.2942765110154185E-2</v>
      </c>
      <c r="C210" s="22">
        <v>-0.30297468248608656</v>
      </c>
      <c r="D210" s="22">
        <v>-100.74626715861679</v>
      </c>
      <c r="E210" s="22">
        <v>22979088.616418246</v>
      </c>
      <c r="F210" s="22">
        <f>(E210/dane!$B$8)*dane!$L$31</f>
        <v>140435.05871576752</v>
      </c>
      <c r="G210" s="22">
        <f xml:space="preserve"> B210*dane!$B$10</f>
        <v>37.360205645834142</v>
      </c>
    </row>
    <row r="211" spans="1:7">
      <c r="A211" s="22">
        <v>6.3000000000002165E-2</v>
      </c>
      <c r="B211" s="22">
        <v>4.2846991214501536E-2</v>
      </c>
      <c r="C211" s="22">
        <v>-0.33319133112320926</v>
      </c>
      <c r="D211" s="22">
        <v>-100.70083422809539</v>
      </c>
      <c r="E211" s="22">
        <v>22968725.876775384</v>
      </c>
      <c r="F211" s="22">
        <f>(E211/dane!$B$8)*dane!$L$31</f>
        <v>140371.72757263583</v>
      </c>
      <c r="G211" s="22">
        <f xml:space="preserve"> B211*dane!$B$10</f>
        <v>37.276882356616333</v>
      </c>
    </row>
    <row r="212" spans="1:7">
      <c r="A212" s="22">
        <v>6.3300000000002091E-2</v>
      </c>
      <c r="B212" s="22">
        <v>4.2742154606738823E-2</v>
      </c>
      <c r="C212" s="22">
        <v>-0.36339365023459735</v>
      </c>
      <c r="D212" s="22">
        <v>-100.65107046702478</v>
      </c>
      <c r="E212" s="22">
        <v>22957375.323471732</v>
      </c>
      <c r="F212" s="22">
        <f>(E212/dane!$B$8)*dane!$L$31</f>
        <v>140302.35947687441</v>
      </c>
      <c r="G212" s="22">
        <f xml:space="preserve"> B212*dane!$B$10</f>
        <v>37.185674507862778</v>
      </c>
    </row>
    <row r="213" spans="1:7">
      <c r="A213" s="22">
        <v>6.3600000000002016E-2</v>
      </c>
      <c r="B213" s="22">
        <v>4.2628259795563388E-2</v>
      </c>
      <c r="C213" s="22">
        <v>-0.39358034091218058</v>
      </c>
      <c r="D213" s="22">
        <v>-100.59697801558995</v>
      </c>
      <c r="E213" s="22">
        <v>22945037.444659378</v>
      </c>
      <c r="F213" s="22">
        <f>(E213/dane!$B$8)*dane!$L$31</f>
        <v>140226.95741178974</v>
      </c>
      <c r="G213" s="22">
        <f xml:space="preserve"> B213*dane!$B$10</f>
        <v>37.086586022140146</v>
      </c>
    </row>
    <row r="214" spans="1:7">
      <c r="A214" s="22">
        <v>6.3900000000001941E-2</v>
      </c>
      <c r="B214" s="22">
        <v>4.2505311679237795E-2</v>
      </c>
      <c r="C214" s="22">
        <v>-0.42375010492001924</v>
      </c>
      <c r="D214" s="22">
        <v>-100.53855920013949</v>
      </c>
      <c r="E214" s="22">
        <v>22931712.770952225</v>
      </c>
      <c r="F214" s="22">
        <f>(E214/dane!$B$8)*dane!$L$31</f>
        <v>140145.5246201909</v>
      </c>
      <c r="G214" s="22">
        <f xml:space="preserve"> B214*dane!$B$10</f>
        <v>36.97962116093688</v>
      </c>
    </row>
    <row r="215" spans="1:7">
      <c r="A215" s="22">
        <v>6.4200000000001867E-2</v>
      </c>
      <c r="B215" s="22">
        <v>4.2373315545379216E-2</v>
      </c>
      <c r="C215" s="22">
        <v>-0.45390164475013678</v>
      </c>
      <c r="D215" s="22">
        <v>-100.47581653308548</v>
      </c>
      <c r="E215" s="22">
        <v>22917401.875403166</v>
      </c>
      <c r="F215" s="22">
        <f>(E215/dane!$B$8)*dane!$L$31</f>
        <v>140058.06460424964</v>
      </c>
      <c r="G215" s="22">
        <f xml:space="preserve"> B215*dane!$B$10</f>
        <v>36.864784524479916</v>
      </c>
    </row>
    <row r="216" spans="1:7">
      <c r="A216" s="22">
        <v>6.4500000000001792E-2</v>
      </c>
      <c r="B216" s="22">
        <v>4.2232277070731968E-2</v>
      </c>
      <c r="C216" s="22">
        <v>-0.48403366367832246</v>
      </c>
      <c r="D216" s="22">
        <v>-100.40875271279539</v>
      </c>
      <c r="E216" s="22">
        <v>22902105.373479426</v>
      </c>
      <c r="F216" s="22">
        <f>(E216/dane!$B$8)*dane!$L$31</f>
        <v>139964.58112534997</v>
      </c>
      <c r="G216" s="22">
        <f xml:space="preserve"> B216*dane!$B$10</f>
        <v>36.742081051536815</v>
      </c>
    </row>
    <row r="217" spans="1:7">
      <c r="A217" s="22">
        <v>6.4800000000001717E-2</v>
      </c>
      <c r="B217" s="22">
        <v>4.2082202320923405E-2</v>
      </c>
      <c r="C217" s="22">
        <v>-0.51414486581989904</v>
      </c>
      <c r="D217" s="22">
        <v>-100.33737062347618</v>
      </c>
      <c r="E217" s="22">
        <v>22885823.923036117</v>
      </c>
      <c r="F217" s="22">
        <f>(E217/dane!$B$8)*dane!$L$31</f>
        <v>139865.07820392644</v>
      </c>
      <c r="G217" s="22">
        <f xml:space="preserve"> B217*dane!$B$10</f>
        <v>36.611516019203364</v>
      </c>
    </row>
    <row r="218" spans="1:7">
      <c r="A218" s="22">
        <v>6.5100000000001643E-2</v>
      </c>
      <c r="B218" s="22">
        <v>4.1923097750203031E-2</v>
      </c>
      <c r="C218" s="22">
        <v>-0.544233956185454</v>
      </c>
      <c r="D218" s="22">
        <v>-100.26167333505008</v>
      </c>
      <c r="E218" s="22">
        <v>22868558.22428792</v>
      </c>
      <c r="F218" s="22">
        <f>(E218/dane!$B$8)*dane!$L$31</f>
        <v>139759.56011929101</v>
      </c>
      <c r="G218" s="22">
        <f xml:space="preserve"> B218*dane!$B$10</f>
        <v>36.47309504267664</v>
      </c>
    </row>
    <row r="219" spans="1:7">
      <c r="A219" s="22">
        <v>6.5400000000001568E-2</v>
      </c>
      <c r="B219" s="22">
        <v>4.175497020116499E-2</v>
      </c>
      <c r="C219" s="22">
        <v>-0.57429964073653461</v>
      </c>
      <c r="D219" s="22">
        <v>-100.18166410302267</v>
      </c>
      <c r="E219" s="22">
        <v>22850309.019778986</v>
      </c>
      <c r="F219" s="22">
        <f>(E219/dane!$B$8)*dane!$L$31</f>
        <v>139648.03140944929</v>
      </c>
      <c r="G219" s="22">
        <f xml:space="preserve"> B219*dane!$B$10</f>
        <v>36.32682407501354</v>
      </c>
    </row>
    <row r="220" spans="1:7">
      <c r="A220" s="22">
        <v>6.5700000000001493E-2</v>
      </c>
      <c r="B220" s="22">
        <v>4.1577826904453656E-2</v>
      </c>
      <c r="C220" s="22">
        <v>-0.60434062644129927</v>
      </c>
      <c r="D220" s="22">
        <v>-100.09734636834288</v>
      </c>
      <c r="E220" s="22">
        <v>22831077.094351001</v>
      </c>
      <c r="F220" s="22">
        <f>(E220/dane!$B$8)*dane!$L$31</f>
        <v>139530.4968709051</v>
      </c>
      <c r="G220" s="22">
        <f xml:space="preserve"> B220*dane!$B$10</f>
        <v>36.172709406874681</v>
      </c>
    </row>
    <row r="221" spans="1:7">
      <c r="A221" s="22">
        <v>6.6000000000001419E-2</v>
      </c>
      <c r="B221" s="22">
        <v>4.1391675478452836E-2</v>
      </c>
      <c r="C221" s="22">
        <v>-0.6343556213301268</v>
      </c>
      <c r="D221" s="22">
        <v>-100.00872375725498</v>
      </c>
      <c r="E221" s="22">
        <v>22810863.275109429</v>
      </c>
      <c r="F221" s="22">
        <f>(E221/dane!$B$8)*dane!$L$31</f>
        <v>139406.9615584545</v>
      </c>
      <c r="G221" s="22">
        <f xml:space="preserve"> B221*dane!$B$10</f>
        <v>36.010757666253966</v>
      </c>
    </row>
    <row r="222" spans="1:7">
      <c r="A222" s="22">
        <v>6.6300000000001344E-2</v>
      </c>
      <c r="B222" s="22">
        <v>4.1196523928957993E-2</v>
      </c>
      <c r="C222" s="22">
        <v>-0.66434333455118089</v>
      </c>
      <c r="D222" s="22">
        <v>-99.915800081142564</v>
      </c>
      <c r="E222" s="22">
        <v>22789668.431387939</v>
      </c>
      <c r="F222" s="22">
        <f>(E222/dane!$B$8)*dane!$L$31</f>
        <v>139277.43078496799</v>
      </c>
      <c r="G222" s="22">
        <f xml:space="preserve"> B222*dane!$B$10</f>
        <v>35.840975818193456</v>
      </c>
    </row>
    <row r="223" spans="1:7">
      <c r="A223" s="22">
        <v>6.6600000000001269E-2</v>
      </c>
      <c r="B223" s="22">
        <v>4.099238064883199E-2</v>
      </c>
      <c r="C223" s="22">
        <v>-0.69430247642592502</v>
      </c>
      <c r="D223" s="22">
        <v>-99.818579336364763</v>
      </c>
      <c r="E223" s="22">
        <v>22767493.474711023</v>
      </c>
      <c r="F223" s="22">
        <f>(E223/dane!$B$8)*dane!$L$31</f>
        <v>139141.91012116251</v>
      </c>
      <c r="G223" s="22">
        <f xml:space="preserve"> B223*dane!$B$10</f>
        <v>35.663371164483834</v>
      </c>
    </row>
    <row r="224" spans="1:7">
      <c r="A224" s="22">
        <v>6.6900000000001195E-2</v>
      </c>
      <c r="B224" s="22">
        <v>4.0779254417644163E-2</v>
      </c>
      <c r="C224" s="22">
        <v>-0.72423175850458765</v>
      </c>
      <c r="D224" s="22">
        <v>-99.717065704084277</v>
      </c>
      <c r="E224" s="22">
        <v>22744339.358754795</v>
      </c>
      <c r="F224" s="22">
        <f>(E224/dane!$B$8)*dane!$L$31</f>
        <v>139000.40539536145</v>
      </c>
      <c r="G224" s="22">
        <f xml:space="preserve"> B224*dane!$B$10</f>
        <v>35.477951343350419</v>
      </c>
    </row>
    <row r="225" spans="1:7">
      <c r="A225" s="22">
        <v>6.720000000000112E-2</v>
      </c>
      <c r="B225" s="22">
        <v>4.055715440129265E-2</v>
      </c>
      <c r="C225" s="22">
        <v>-0.75412989362157423</v>
      </c>
      <c r="D225" s="22">
        <v>-99.611263550087557</v>
      </c>
      <c r="E225" s="22">
        <v>22720207.079305962</v>
      </c>
      <c r="F225" s="22">
        <f>(E225/dane!$B$8)*dane!$L$31</f>
        <v>138852.92269324415</v>
      </c>
      <c r="G225" s="22">
        <f xml:space="preserve"> B225*dane!$B$10</f>
        <v>35.284724329124607</v>
      </c>
    </row>
    <row r="226" spans="1:7">
      <c r="A226" s="22">
        <v>6.7500000000001045E-2</v>
      </c>
      <c r="B226" s="22">
        <v>4.0326090151610337E-2</v>
      </c>
      <c r="C226" s="22">
        <v>-0.78399559595082458</v>
      </c>
      <c r="D226" s="22">
        <v>-99.501177424597117</v>
      </c>
      <c r="E226" s="22">
        <v>22695097.67421902</v>
      </c>
      <c r="F226" s="22">
        <f>(E226/dane!$B$8)*dane!$L$31</f>
        <v>138699.46835758424</v>
      </c>
      <c r="G226" s="22">
        <f xml:space="preserve"> B226*dane!$B$10</f>
        <v>35.083698431900991</v>
      </c>
    </row>
    <row r="227" spans="1:7">
      <c r="A227" s="22">
        <v>6.7800000000000971E-2</v>
      </c>
      <c r="B227" s="22">
        <v>4.0086071605953906E-2</v>
      </c>
      <c r="C227" s="22">
        <v>-0.8138275810611123</v>
      </c>
      <c r="D227" s="22">
        <v>-99.386812062075776</v>
      </c>
      <c r="E227" s="22">
        <v>22669012.223371603</v>
      </c>
      <c r="F227" s="22">
        <f>(E227/dane!$B$8)*dane!$L$31</f>
        <v>138540.04898797674</v>
      </c>
      <c r="G227" s="22">
        <f xml:space="preserve"> B227*dane!$B$10</f>
        <v>34.874882297179902</v>
      </c>
    </row>
    <row r="228" spans="1:7">
      <c r="A228" s="22">
        <v>6.8100000000000896E-2</v>
      </c>
      <c r="B228" s="22">
        <v>3.9837109086776588E-2</v>
      </c>
      <c r="C228" s="22">
        <v>-0.84362456597128377</v>
      </c>
      <c r="D228" s="22">
        <v>-99.268172381023021</v>
      </c>
      <c r="E228" s="22">
        <v>22641951.848618038</v>
      </c>
      <c r="F228" s="22">
        <f>(E228/dane!$B$8)*dane!$L$31</f>
        <v>138374.67144055423</v>
      </c>
      <c r="G228" s="22">
        <f xml:space="preserve"> B228*dane!$B$10</f>
        <v>34.658284905495634</v>
      </c>
    </row>
    <row r="229" spans="1:7">
      <c r="A229" s="22">
        <v>6.8400000000000821E-2</v>
      </c>
      <c r="B229" s="22">
        <v>3.9579213301184156E-2</v>
      </c>
      <c r="C229" s="22">
        <v>-0.8733852692054358</v>
      </c>
      <c r="D229" s="22">
        <v>-99.1452634837636</v>
      </c>
      <c r="E229" s="22">
        <v>22613917.713741124</v>
      </c>
      <c r="F229" s="22">
        <f>(E229/dane!$B$8)*dane!$L$31</f>
        <v>138203.34282769216</v>
      </c>
      <c r="G229" s="22">
        <f xml:space="preserve"> B229*dane!$B$10</f>
        <v>34.433915572030216</v>
      </c>
    </row>
    <row r="230" spans="1:7">
      <c r="A230" s="22">
        <v>6.8700000000000747E-2</v>
      </c>
      <c r="B230" s="22">
        <v>3.9312395340474475E-2</v>
      </c>
      <c r="C230" s="22">
        <v>-0.90310841084802684</v>
      </c>
      <c r="D230" s="22">
        <v>-99.018090656227969</v>
      </c>
      <c r="E230" s="22">
        <v>22584911.024402045</v>
      </c>
      <c r="F230" s="22">
        <f>(E230/dane!$B$8)*dane!$L$31</f>
        <v>138026.07051770278</v>
      </c>
      <c r="G230" s="22">
        <f xml:space="preserve"> B230*dane!$B$10</f>
        <v>34.201783946212792</v>
      </c>
    </row>
    <row r="231" spans="1:7">
      <c r="A231" s="22">
        <v>6.9000000000000672E-2</v>
      </c>
      <c r="B231" s="22">
        <v>3.9036666679660444E-2</v>
      </c>
      <c r="C231" s="22">
        <v>-0.9327927125989236</v>
      </c>
      <c r="D231" s="22">
        <v>-98.886659367724988</v>
      </c>
      <c r="E231" s="22">
        <v>22554933.028088544</v>
      </c>
      <c r="F231" s="22">
        <f>(E231/dane!$B$8)*dane!$L$31</f>
        <v>137842.86213451828</v>
      </c>
      <c r="G231" s="22">
        <f xml:space="preserve"> B231*dane!$B$10</f>
        <v>33.961900011304586</v>
      </c>
    </row>
    <row r="232" spans="1:7">
      <c r="A232" s="22">
        <v>6.9300000000000597E-2</v>
      </c>
      <c r="B232" s="22">
        <v>3.8752039176976602E-2</v>
      </c>
      <c r="C232" s="22">
        <v>-0.96243689782837549</v>
      </c>
      <c r="D232" s="22">
        <v>-98.750975270706746</v>
      </c>
      <c r="E232" s="22">
        <v>22523985.014061265</v>
      </c>
      <c r="F232" s="22">
        <f>(E232/dane!$B$8)*dane!$L$31</f>
        <v>137653.72555736298</v>
      </c>
      <c r="G232" s="22">
        <f xml:space="preserve"> B232*dane!$B$10</f>
        <v>33.714274083969642</v>
      </c>
    </row>
    <row r="233" spans="1:7">
      <c r="A233" s="22">
        <v>6.9600000000000523E-2</v>
      </c>
      <c r="B233" s="22">
        <v>3.8458525073369054E-2</v>
      </c>
      <c r="C233" s="22">
        <v>-0.99203969163191974</v>
      </c>
      <c r="D233" s="22">
        <v>-98.611044200525441</v>
      </c>
      <c r="E233" s="22">
        <v>22492068.313298307</v>
      </c>
      <c r="F233" s="22">
        <f>(E233/dane!$B$8)*dane!$L$31</f>
        <v>137458.66892041452</v>
      </c>
      <c r="G233" s="22">
        <f xml:space="preserve"> B233*dane!$B$10</f>
        <v>33.458916813831074</v>
      </c>
    </row>
    <row r="234" spans="1:7">
      <c r="A234" s="22">
        <v>6.9900000000000448E-2</v>
      </c>
      <c r="B234" s="22">
        <v>3.8156136991969021E-2</v>
      </c>
      <c r="C234" s="22">
        <v>-1.0215998208852095</v>
      </c>
      <c r="D234" s="22">
        <v>-98.46687217518236</v>
      </c>
      <c r="E234" s="22">
        <v>22459184.298437975</v>
      </c>
      <c r="F234" s="22">
        <f>(E234/dane!$B$8)*dane!$L$31</f>
        <v>137257.7006124538</v>
      </c>
      <c r="G234" s="22">
        <f xml:space="preserve"> B234*dane!$B$10</f>
        <v>33.195839183013049</v>
      </c>
    </row>
    <row r="235" spans="1:7">
      <c r="A235" s="22">
        <v>7.0200000000000373E-2</v>
      </c>
      <c r="B235" s="22">
        <v>3.7844887937550011E-2</v>
      </c>
      <c r="C235" s="22">
        <v>-1.0511160142987692</v>
      </c>
      <c r="D235" s="22">
        <v>-98.318465395069168</v>
      </c>
      <c r="E235" s="22">
        <v>22425334.383719753</v>
      </c>
      <c r="F235" s="22">
        <f>(E235/dane!$B$8)*dane!$L$31</f>
        <v>137050.82927650443</v>
      </c>
      <c r="G235" s="22">
        <f xml:space="preserve"> B235*dane!$B$10</f>
        <v>32.925052505668511</v>
      </c>
    </row>
    <row r="236" spans="1:7">
      <c r="A236" s="22">
        <v>7.0500000000000299E-2</v>
      </c>
      <c r="B236" s="22">
        <v>3.7524791295968481E-2</v>
      </c>
      <c r="C236" s="22">
        <v>-1.0805870024726665</v>
      </c>
      <c r="D236" s="22">
        <v>-98.16583024270119</v>
      </c>
      <c r="E236" s="22">
        <v>22390520.024923488</v>
      </c>
      <c r="F236" s="22">
        <f>(E236/dane!$B$8)*dane!$L$31</f>
        <v>136838.06380946099</v>
      </c>
      <c r="G236" s="22">
        <f xml:space="preserve"> B236*dane!$B$10</f>
        <v>32.646568427492575</v>
      </c>
    </row>
    <row r="237" spans="1:7">
      <c r="A237" s="22">
        <v>7.0800000000000224E-2</v>
      </c>
      <c r="B237" s="22">
        <v>3.7195860833588203E-2</v>
      </c>
      <c r="C237" s="22">
        <v>-1.1100115179511063</v>
      </c>
      <c r="D237" s="22">
        <v>-98.008973282442895</v>
      </c>
      <c r="E237" s="22">
        <v>22354742.719306771</v>
      </c>
      <c r="F237" s="22">
        <f>(E237/dane!$B$8)*dane!$L$31</f>
        <v>136619.41336170625</v>
      </c>
      <c r="G237" s="22">
        <f xml:space="preserve"> B237*dane!$B$10</f>
        <v>32.360398925221737</v>
      </c>
    </row>
    <row r="238" spans="1:7">
      <c r="A238" s="22">
        <v>7.1100000000000149E-2</v>
      </c>
      <c r="B238" s="22">
        <v>3.6858110696688137E-2</v>
      </c>
      <c r="C238" s="22">
        <v>-1.1393882952769405</v>
      </c>
      <c r="D238" s="22">
        <v>-97.847901260225655</v>
      </c>
      <c r="E238" s="22">
        <v>22318004.00554055</v>
      </c>
      <c r="F238" s="22">
        <f>(E238/dane!$B$8)*dane!$L$31</f>
        <v>136394.88733671783</v>
      </c>
      <c r="G238" s="22">
        <f xml:space="preserve"> B238*dane!$B$10</f>
        <v>32.066556306118677</v>
      </c>
    </row>
    <row r="239" spans="1:7">
      <c r="A239" s="22">
        <v>7.1400000000000075E-2</v>
      </c>
      <c r="B239" s="22">
        <v>3.6511555410854157E-2</v>
      </c>
      <c r="C239" s="22">
        <v>-1.1687160710460902</v>
      </c>
      <c r="D239" s="22">
        <v>-97.682621103257588</v>
      </c>
      <c r="E239" s="22">
        <v>22280305.463642962</v>
      </c>
      <c r="F239" s="22">
        <f>(E239/dane!$B$8)*dane!$L$31</f>
        <v>136164.49539066371</v>
      </c>
      <c r="G239" s="22">
        <f xml:space="preserve"> B239*dane!$B$10</f>
        <v>31.765053207443117</v>
      </c>
    </row>
    <row r="240" spans="1:7">
      <c r="A240" s="22">
        <v>7.17E-2</v>
      </c>
      <c r="B240" s="22">
        <v>3.6156209880354201E-2</v>
      </c>
      <c r="C240" s="22">
        <v>-1.197993583961882</v>
      </c>
      <c r="D240" s="22">
        <v>-97.513139919725589</v>
      </c>
      <c r="E240" s="22">
        <v>22241648.714911364</v>
      </c>
      <c r="F240" s="22">
        <f>(E240/dane!$B$8)*dane!$L$31</f>
        <v>135928.24743198688</v>
      </c>
      <c r="G240" s="22">
        <f xml:space="preserve"> B240*dane!$B$10</f>
        <v>31.455902595908153</v>
      </c>
    </row>
    <row r="241" spans="1:7">
      <c r="A241" s="22">
        <v>7.1999999999999925E-2</v>
      </c>
      <c r="B241" s="22">
        <v>3.5792089387497408E-2</v>
      </c>
      <c r="C241" s="22">
        <v>-1.2272195748892916</v>
      </c>
      <c r="D241" s="22">
        <v>-97.339464998489717</v>
      </c>
      <c r="E241" s="22">
        <v>22202035.421852622</v>
      </c>
      <c r="F241" s="22">
        <f>(E241/dane!$B$8)*dane!$L$31</f>
        <v>135686.15362097931</v>
      </c>
      <c r="G241" s="22">
        <f xml:space="preserve"> B241*dane!$B$10</f>
        <v>31.139117767122745</v>
      </c>
    </row>
    <row r="242" spans="1:7">
      <c r="A242" s="22">
        <v>7.229999999999985E-2</v>
      </c>
      <c r="B242" s="22">
        <v>3.5419209591976857E-2</v>
      </c>
      <c r="C242" s="22">
        <v>-1.2563927869090956</v>
      </c>
      <c r="D242" s="22">
        <v>-97.161603808769669</v>
      </c>
      <c r="E242" s="22">
        <v>22161467.288111608</v>
      </c>
      <c r="F242" s="22">
        <f>(E242/dane!$B$8)*dane!$L$31</f>
        <v>135438.22436934494</v>
      </c>
      <c r="G242" s="22">
        <f xml:space="preserve"> B242*dane!$B$10</f>
        <v>30.814712345019863</v>
      </c>
    </row>
    <row r="243" spans="1:7">
      <c r="A243" s="22">
        <v>7.2599999999999776E-2</v>
      </c>
      <c r="B243" s="22">
        <v>3.5037586530196035E-2</v>
      </c>
      <c r="C243" s="22">
        <v>-1.2855119653719278</v>
      </c>
      <c r="D243" s="22">
        <v>-96.979563999823569</v>
      </c>
      <c r="E243" s="22">
        <v>22119946.058397934</v>
      </c>
      <c r="F243" s="22">
        <f>(E243/dane!$B$8)*dane!$L$31</f>
        <v>135184.47033975195</v>
      </c>
      <c r="G243" s="22">
        <f xml:space="preserve"> B243*dane!$B$10</f>
        <v>30.482700281270549</v>
      </c>
    </row>
    <row r="244" spans="1:7">
      <c r="A244" s="22">
        <v>7.2899999999999701E-2</v>
      </c>
      <c r="B244" s="22">
        <v>3.464723661457917E-2</v>
      </c>
      <c r="C244" s="22">
        <v>-1.3145758579522382</v>
      </c>
      <c r="D244" s="22">
        <v>-96.793353400618983</v>
      </c>
      <c r="E244" s="22">
        <v>22077473.518410902</v>
      </c>
      <c r="F244" s="22">
        <f>(E244/dane!$B$8)*dane!$L$31</f>
        <v>134924.90244537406</v>
      </c>
      <c r="G244" s="22">
        <f xml:space="preserve"> B244*dane!$B$10</f>
        <v>30.143095854683878</v>
      </c>
    </row>
    <row r="245" spans="1:7">
      <c r="A245" s="22">
        <v>7.3199999999999626E-2</v>
      </c>
      <c r="B245" s="22">
        <v>3.4248176632865453E-2</v>
      </c>
      <c r="C245" s="22">
        <v>-1.34358321470215</v>
      </c>
      <c r="D245" s="22">
        <v>-96.602980019496258</v>
      </c>
      <c r="E245" s="22">
        <v>22034051.49476273</v>
      </c>
      <c r="F245" s="22">
        <f>(E245/dane!$B$8)*dane!$L$31</f>
        <v>134659.53184942139</v>
      </c>
      <c r="G245" s="22">
        <f xml:space="preserve"> B245*dane!$B$10</f>
        <v>29.795913670592945</v>
      </c>
    </row>
    <row r="246" spans="1:7">
      <c r="A246" s="22">
        <v>7.3499999999999552E-2</v>
      </c>
      <c r="B246" s="22">
        <v>3.3840423747387001E-2</v>
      </c>
      <c r="C246" s="22">
        <v>-1.3725327881052185</v>
      </c>
      <c r="D246" s="22">
        <v>-96.408452043824028</v>
      </c>
      <c r="E246" s="22">
        <v>21989681.854899976</v>
      </c>
      <c r="F246" s="22">
        <f>(E246/dane!$B$8)*dane!$L$31</f>
        <v>134388.36996466015</v>
      </c>
      <c r="G246" s="22">
        <f xml:space="preserve"> B246*dane!$B$10</f>
        <v>29.44116866022669</v>
      </c>
    </row>
    <row r="247" spans="1:7">
      <c r="A247" s="22">
        <v>7.3799999999999477E-2</v>
      </c>
      <c r="B247" s="22">
        <v>3.3423995494330713E-2</v>
      </c>
      <c r="C247" s="22">
        <v>-1.4014233331300805</v>
      </c>
      <c r="D247" s="22">
        <v>-96.209777839647188</v>
      </c>
      <c r="E247" s="22">
        <v>21944366.507023234</v>
      </c>
      <c r="F247" s="22">
        <f>(E247/dane!$B$8)*dane!$L$31</f>
        <v>134111.428452922</v>
      </c>
      <c r="G247" s="22">
        <f xml:space="preserve"> B247*dane!$B$10</f>
        <v>29.078876080067719</v>
      </c>
    </row>
    <row r="248" spans="1:7">
      <c r="A248" s="22">
        <v>7.4099999999999402E-2</v>
      </c>
      <c r="B248" s="22">
        <v>3.2998909782984184E-2</v>
      </c>
      <c r="C248" s="22">
        <v>-1.4302536072840009</v>
      </c>
      <c r="D248" s="22">
        <v>-96.006965951327061</v>
      </c>
      <c r="E248" s="22">
        <v>21898107.400005069</v>
      </c>
      <c r="F248" s="22">
        <f>(E248/dane!$B$8)*dane!$L$31</f>
        <v>133828.71922460242</v>
      </c>
      <c r="G248" s="22">
        <f xml:space="preserve"> B248*dane!$B$10</f>
        <v>28.70905151119624</v>
      </c>
    </row>
    <row r="249" spans="1:7">
      <c r="A249" s="22">
        <v>7.4399999999999328E-2</v>
      </c>
      <c r="B249" s="22">
        <v>3.2565184894965425E-2</v>
      </c>
      <c r="C249" s="22">
        <v>-1.459022370666307</v>
      </c>
      <c r="D249" s="22">
        <v>-95.800025101173958</v>
      </c>
      <c r="E249" s="22">
        <v>21850906.523306198</v>
      </c>
      <c r="F249" s="22">
        <f>(E249/dane!$B$8)*dane!$L$31</f>
        <v>133540.25443814846</v>
      </c>
      <c r="G249" s="22">
        <f xml:space="preserve"> B249*dane!$B$10</f>
        <v>28.331710858619921</v>
      </c>
    </row>
    <row r="250" spans="1:7">
      <c r="A250" s="22">
        <v>7.4699999999999253E-2</v>
      </c>
      <c r="B250" s="22">
        <v>3.2122839483436631E-2</v>
      </c>
      <c r="C250" s="22">
        <v>-1.4877283860217145</v>
      </c>
      <c r="D250" s="22">
        <v>-95.588964189071959</v>
      </c>
      <c r="E250" s="22">
        <v>21802765.90688993</v>
      </c>
      <c r="F250" s="22">
        <f>(E250/dane!$B$8)*dane!$L$31</f>
        <v>133246.04649953591</v>
      </c>
      <c r="G250" s="22">
        <f xml:space="preserve"> B250*dane!$B$10</f>
        <v>27.946870350589869</v>
      </c>
    </row>
    <row r="251" spans="1:7">
      <c r="A251" s="22">
        <v>7.4999999999999178E-2</v>
      </c>
      <c r="B251" s="22">
        <v>3.1671892572302004E-2</v>
      </c>
      <c r="C251" s="22">
        <v>-1.5163704187935365</v>
      </c>
      <c r="D251" s="22">
        <v>-95.373792292096297</v>
      </c>
      <c r="E251" s="22">
        <v>21753687.621134866</v>
      </c>
      <c r="F251" s="22">
        <f>(E251/dane!$B$8)*dane!$L$31</f>
        <v>132946.10806173566</v>
      </c>
      <c r="G251" s="22">
        <f xml:space="preserve"> B251*dane!$B$10</f>
        <v>27.554546537902745</v>
      </c>
    </row>
    <row r="252" spans="1:7">
      <c r="A252" s="22">
        <v>7.5299999999999104E-2</v>
      </c>
      <c r="B252" s="22">
        <v>3.1212363555389526E-2</v>
      </c>
      <c r="C252" s="22">
        <v>-1.5449472371767787</v>
      </c>
      <c r="D252" s="22">
        <v>-95.154518664122875</v>
      </c>
      <c r="E252" s="22">
        <v>21703673.776745856</v>
      </c>
      <c r="F252" s="22">
        <f>(E252/dane!$B$8)*dane!$L$31</f>
        <v>132640.45202416967</v>
      </c>
      <c r="G252" s="22">
        <f xml:space="preserve"> B252*dane!$B$10</f>
        <v>27.154756293188889</v>
      </c>
    </row>
    <row r="253" spans="1:7">
      <c r="A253" s="22">
        <v>7.5599999999999029E-2</v>
      </c>
      <c r="B253" s="22">
        <v>3.074427219561696E-2</v>
      </c>
      <c r="C253" s="22">
        <v>-1.5734576121711157</v>
      </c>
      <c r="D253" s="22">
        <v>-94.931152735430345</v>
      </c>
      <c r="E253" s="22">
        <v>21652726.524663225</v>
      </c>
      <c r="F253" s="22">
        <f>(E253/dane!$B$8)*dane!$L$31</f>
        <v>132329.0915321561</v>
      </c>
      <c r="G253" s="22">
        <f xml:space="preserve"> B253*dane!$B$10</f>
        <v>26.747516810186756</v>
      </c>
    </row>
    <row r="254" spans="1:7">
      <c r="A254" s="22">
        <v>7.5899999999998954E-2</v>
      </c>
      <c r="B254" s="22">
        <v>3.0267638624141877E-2</v>
      </c>
      <c r="C254" s="22">
        <v>-1.6019003176337463</v>
      </c>
      <c r="D254" s="22">
        <v>-94.703704112294531</v>
      </c>
      <c r="E254" s="22">
        <v>21600848.05597027</v>
      </c>
      <c r="F254" s="22">
        <f>(E254/dane!$B$8)*dane!$L$31</f>
        <v>132012.03997634401</v>
      </c>
      <c r="G254" s="22">
        <f xml:space="preserve"> B254*dane!$B$10</f>
        <v>26.332845603003431</v>
      </c>
    </row>
    <row r="255" spans="1:7">
      <c r="A255" s="22">
        <v>7.619999999999888E-2</v>
      </c>
      <c r="B255" s="22">
        <v>2.978248333949586E-2</v>
      </c>
      <c r="C255" s="22">
        <v>-1.6302741303321253</v>
      </c>
      <c r="D255" s="22">
        <v>-94.47218257657525</v>
      </c>
      <c r="E255" s="22">
        <v>21548040.601799026</v>
      </c>
      <c r="F255" s="22">
        <f>(E255/dane!$B$8)*dane!$L$31</f>
        <v>131689.3109921375</v>
      </c>
      <c r="G255" s="22">
        <f xml:space="preserve"> B255*dane!$B$10</f>
        <v>25.910760505361399</v>
      </c>
    </row>
    <row r="256" spans="1:7">
      <c r="A256" s="22">
        <v>7.6499999999998805E-2</v>
      </c>
      <c r="B256" s="22">
        <v>2.9288827206702974E-2</v>
      </c>
      <c r="C256" s="22">
        <v>-1.6585778299965721</v>
      </c>
      <c r="D256" s="22">
        <v>-94.236598085295654</v>
      </c>
      <c r="E256" s="22">
        <v>21494306.433234304</v>
      </c>
      <c r="F256" s="22">
        <f>(E256/dane!$B$8)*dane!$L$31</f>
        <v>131360.91845910906</v>
      </c>
      <c r="G256" s="22">
        <f xml:space="preserve"> B256*dane!$B$10</f>
        <v>25.481279669831586</v>
      </c>
    </row>
    <row r="257" spans="1:7">
      <c r="A257" s="22">
        <v>7.679999999999873E-2</v>
      </c>
      <c r="B257" s="22">
        <v>2.8786691456382366E-2</v>
      </c>
      <c r="C257" s="22">
        <v>-1.68681019937275</v>
      </c>
      <c r="D257" s="22">
        <v>-93.996960770214059</v>
      </c>
      <c r="E257" s="22">
        <v>21439647.861216042</v>
      </c>
      <c r="F257" s="22">
        <f>(E257/dane!$B$8)*dane!$L$31</f>
        <v>131026.87650040319</v>
      </c>
      <c r="G257" s="22">
        <f xml:space="preserve"> B257*dane!$B$10</f>
        <v>25.044421567052659</v>
      </c>
    </row>
    <row r="258" spans="1:7">
      <c r="A258" s="22">
        <v>7.7099999999998656E-2</v>
      </c>
      <c r="B258" s="22">
        <v>2.8276097683835259E-2</v>
      </c>
      <c r="C258" s="22">
        <v>-1.7149700242740176</v>
      </c>
      <c r="D258" s="22">
        <v>-93.753280937388141</v>
      </c>
      <c r="E258" s="22">
        <v>21384067.236439891</v>
      </c>
      <c r="F258" s="22">
        <f>(E258/dane!$B$8)*dane!$L$31</f>
        <v>130687.19948212836</v>
      </c>
      <c r="G258" s="22">
        <f xml:space="preserve"> B258*dane!$B$10</f>
        <v>24.600204984936674</v>
      </c>
    </row>
    <row r="259" spans="1:7">
      <c r="A259" s="22">
        <v>7.7399999999998581E-2</v>
      </c>
      <c r="B259" s="22">
        <v>2.7757067848116164E-2</v>
      </c>
      <c r="C259" s="22">
        <v>-1.7430560936336448</v>
      </c>
      <c r="D259" s="22">
        <v>-93.505569066731695</v>
      </c>
      <c r="E259" s="22">
        <v>21327566.949256137</v>
      </c>
      <c r="F259" s="22">
        <f>(E259/dane!$B$8)*dane!$L$31</f>
        <v>130341.90201273965</v>
      </c>
      <c r="G259" s="22">
        <f xml:space="preserve"> B259*dane!$B$10</f>
        <v>24.148649027861062</v>
      </c>
    </row>
    <row r="260" spans="1:7">
      <c r="A260" s="22">
        <v>7.7699999999998506E-2</v>
      </c>
      <c r="B260" s="22">
        <v>2.7229624271088493E-2</v>
      </c>
      <c r="C260" s="22">
        <v>-1.7710671995568996</v>
      </c>
      <c r="D260" s="22">
        <v>-93.253835811563974</v>
      </c>
      <c r="E260" s="22">
        <v>21270149.429566886</v>
      </c>
      <c r="F260" s="22">
        <f>(E260/dane!$B$8)*dane!$L$31</f>
        <v>129990.99894241021</v>
      </c>
      <c r="G260" s="22">
        <f xml:space="preserve"> B260*dane!$B$10</f>
        <v>23.68977311584699</v>
      </c>
    </row>
    <row r="261" spans="1:7">
      <c r="A261" s="22">
        <v>7.7999999999998432E-2</v>
      </c>
      <c r="B261" s="22">
        <v>2.6693789636464606E-2</v>
      </c>
      <c r="C261" s="22">
        <v>-1.799002137372995</v>
      </c>
      <c r="D261" s="22">
        <v>-92.998091998151551</v>
      </c>
      <c r="E261" s="22">
        <v>21211817.146721583</v>
      </c>
      <c r="F261" s="22">
        <f>(E261/dane!$B$8)*dane!$L$31</f>
        <v>129634.50536239277</v>
      </c>
      <c r="G261" s="22">
        <f xml:space="preserve"> B261*dane!$B$10</f>
        <v>23.223596983724207</v>
      </c>
    </row>
    <row r="262" spans="1:7">
      <c r="A262" s="22">
        <v>7.8299999999998357E-2</v>
      </c>
      <c r="B262" s="22">
        <v>2.6149586988830197E-2</v>
      </c>
      <c r="C262" s="22">
        <v>-1.8268597056868976</v>
      </c>
      <c r="D262" s="22">
        <v>-92.738348625242608</v>
      </c>
      <c r="E262" s="22">
        <v>21152572.609410789</v>
      </c>
      <c r="F262" s="22">
        <f>(E262/dane!$B$8)*dane!$L$31</f>
        <v>129272.43660437051</v>
      </c>
      <c r="G262" s="22">
        <f xml:space="preserve"> B262*dane!$B$10</f>
        <v>22.750140680282271</v>
      </c>
    </row>
    <row r="263" spans="1:7">
      <c r="A263" s="22">
        <v>7.8599999999998282E-2</v>
      </c>
      <c r="B263" s="22">
        <v>2.5597039732653259E-2</v>
      </c>
      <c r="C263" s="22">
        <v>-1.8546387064309957</v>
      </c>
      <c r="D263" s="22">
        <v>-92.474616863594008</v>
      </c>
      <c r="E263" s="22">
        <v>21092418.3655583</v>
      </c>
      <c r="F263" s="22">
        <f>(E263/dane!$B$8)*dane!$L$31</f>
        <v>128904.80823979774</v>
      </c>
      <c r="G263" s="22">
        <f xml:space="preserve"> B263*dane!$B$10</f>
        <v>22.269424567408336</v>
      </c>
    </row>
    <row r="264" spans="1:7">
      <c r="A264" s="22">
        <v>7.8899999999998208E-2</v>
      </c>
      <c r="B264" s="22">
        <v>2.5036171631277523E-2</v>
      </c>
      <c r="C264" s="22">
        <v>-1.8823379449166271</v>
      </c>
      <c r="D264" s="22">
        <v>-92.206908055490814</v>
      </c>
      <c r="E264" s="22">
        <v>21031357.002211571</v>
      </c>
      <c r="F264" s="22">
        <f>(E264/dane!$B$8)*dane!$L$31</f>
        <v>128531.63607923014</v>
      </c>
      <c r="G264" s="22">
        <f xml:space="preserve"> B264*dane!$B$10</f>
        <v>21.781469319211446</v>
      </c>
    </row>
    <row r="265" spans="1:7">
      <c r="A265" s="22">
        <v>7.9199999999998133E-2</v>
      </c>
      <c r="B265" s="22">
        <v>2.446700680590045E-2</v>
      </c>
      <c r="C265" s="22">
        <v>-1.9099562298854551</v>
      </c>
      <c r="D265" s="22">
        <v>-91.935233714258587</v>
      </c>
      <c r="E265" s="22">
        <v>20969391.145430461</v>
      </c>
      <c r="F265" s="22">
        <f>(E265/dane!$B$8)*dane!$L$31</f>
        <v>128152.93617164502</v>
      </c>
      <c r="G265" s="22">
        <f xml:space="preserve"> B265*dane!$B$10</f>
        <v>21.286295921133391</v>
      </c>
    </row>
    <row r="266" spans="1:7">
      <c r="A266" s="22">
        <v>7.9499999999998058E-2</v>
      </c>
      <c r="B266" s="22">
        <v>2.3889569734535872E-2</v>
      </c>
      <c r="C266" s="22">
        <v>-1.9374923735607035</v>
      </c>
      <c r="D266" s="22">
        <v>-91.659605523768093</v>
      </c>
      <c r="E266" s="22">
        <v>20906523.46017427</v>
      </c>
      <c r="F266" s="22">
        <f>(E266/dane!$B$8)*dane!$L$31</f>
        <v>127768.72480375075</v>
      </c>
      <c r="G266" s="22">
        <f xml:space="preserve"> B266*dane!$B$10</f>
        <v>20.783925669046209</v>
      </c>
    </row>
    <row r="267" spans="1:7">
      <c r="A267" s="22">
        <v>7.9799999999997984E-2</v>
      </c>
      <c r="B267" s="22">
        <v>2.3303885250961259E-2</v>
      </c>
      <c r="C267" s="22">
        <v>-1.9649451916982379</v>
      </c>
      <c r="D267" s="22">
        <v>-91.380035337932938</v>
      </c>
      <c r="E267" s="22">
        <v>20842756.650187153</v>
      </c>
      <c r="F267" s="22">
        <f>(E267/dane!$B$8)*dane!$L$31</f>
        <v>127379.01849928664</v>
      </c>
      <c r="G267" s="22">
        <f xml:space="preserve"> B267*dane!$B$10</f>
        <v>20.274380168336297</v>
      </c>
    </row>
    <row r="268" spans="1:7">
      <c r="A268" s="22">
        <v>8.0099999999997909E-2</v>
      </c>
      <c r="B268" s="22">
        <v>2.2709978543649725E-2</v>
      </c>
      <c r="C268" s="22">
        <v>-1.9923135036374973</v>
      </c>
      <c r="D268" s="22">
        <v>-91.096535180199695</v>
      </c>
      <c r="E268" s="22">
        <v>20778093.457881834</v>
      </c>
      <c r="F268" s="22">
        <f>(E268/dane!$B$8)*dane!$L$31</f>
        <v>126983.83401831213</v>
      </c>
      <c r="G268" s="22">
        <f xml:space="preserve"> B268*dane!$B$10</f>
        <v>19.75768133297526</v>
      </c>
    </row>
    <row r="269" spans="1:7">
      <c r="A269" s="22">
        <v>8.0399999999997834E-2</v>
      </c>
      <c r="B269" s="22">
        <v>2.2107875154686693E-2</v>
      </c>
      <c r="C269" s="22">
        <v>-2.0195961323522704</v>
      </c>
      <c r="D269" s="22">
        <v>-90.809117243030855</v>
      </c>
      <c r="E269" s="22">
        <v>20712536.664221656</v>
      </c>
      <c r="F269" s="22">
        <f>(E269/dane!$B$8)*dane!$L$31</f>
        <v>126583.18835648608</v>
      </c>
      <c r="G269" s="22">
        <f xml:space="preserve"> B269*dane!$B$10</f>
        <v>19.233851384577424</v>
      </c>
    </row>
    <row r="270" spans="1:7">
      <c r="A270" s="22">
        <v>8.069999999999776E-2</v>
      </c>
      <c r="B270" s="22">
        <v>2.1497600978671458E-2</v>
      </c>
      <c r="C270" s="22">
        <v>-2.046791904501315</v>
      </c>
      <c r="D270" s="22">
        <v>-90.517793887380464</v>
      </c>
      <c r="E270" s="22">
        <v>20646089.088600982</v>
      </c>
      <c r="F270" s="22">
        <f>(E270/dane!$B$8)*dane!$L$31</f>
        <v>126177.09874433572</v>
      </c>
      <c r="G270" s="22">
        <f xml:space="preserve"> B270*dane!$B$10</f>
        <v>18.702912851444168</v>
      </c>
    </row>
    <row r="271" spans="1:7">
      <c r="A271" s="22">
        <v>8.0999999999997685E-2</v>
      </c>
      <c r="B271" s="22">
        <v>2.0879182261603523E-2</v>
      </c>
      <c r="C271" s="22">
        <v>-2.073899650478821</v>
      </c>
      <c r="D271" s="22">
        <v>-90.222577642162477</v>
      </c>
      <c r="E271" s="22">
        <v>20578753.58872395</v>
      </c>
      <c r="F271" s="22">
        <f>(E271/dane!$B$8)*dane!$L$31</f>
        <v>125765.58264651582</v>
      </c>
      <c r="G271" s="22">
        <f xml:space="preserve"> B271*dane!$B$10</f>
        <v>18.164888567595064</v>
      </c>
    </row>
    <row r="272" spans="1:7">
      <c r="A272" s="22">
        <v>8.129999999999761E-2</v>
      </c>
      <c r="B272" s="22">
        <v>2.025264559975384E-2</v>
      </c>
      <c r="C272" s="22">
        <v>-2.1009182044647088</v>
      </c>
      <c r="D272" s="22">
        <v>-89.923481203711958</v>
      </c>
      <c r="E272" s="22">
        <v>20510533.060481563</v>
      </c>
      <c r="F272" s="22">
        <f>(E272/dane!$B$8)*dane!$L$31</f>
        <v>125348.65776105733</v>
      </c>
      <c r="G272" s="22">
        <f xml:space="preserve"> B272*dane!$B$10</f>
        <v>17.61980167178584</v>
      </c>
    </row>
    <row r="273" spans="1:7">
      <c r="A273" s="22">
        <v>8.1599999999997536E-2</v>
      </c>
      <c r="B273" s="22">
        <v>1.9618017938520978E-2</v>
      </c>
      <c r="C273" s="22">
        <v>-2.1278464044747736</v>
      </c>
      <c r="D273" s="22">
        <v>-89.62051743523908</v>
      </c>
      <c r="E273" s="22">
        <v>20441430.437827151</v>
      </c>
      <c r="F273" s="22">
        <f>(E273/dane!$B$8)*dane!$L$31</f>
        <v>124926.34201860652</v>
      </c>
      <c r="G273" s="22">
        <f xml:space="preserve"> B273*dane!$B$10</f>
        <v>17.067675606513252</v>
      </c>
    </row>
    <row r="274" spans="1:7">
      <c r="A274" s="22">
        <v>8.1899999999997461E-2</v>
      </c>
      <c r="B274" s="22">
        <v>1.8975326571272304E-2</v>
      </c>
      <c r="C274" s="22">
        <v>-2.154683092410651</v>
      </c>
      <c r="D274" s="22">
        <v>-89.313699366275813</v>
      </c>
      <c r="E274" s="22">
        <v>20371448.692650184</v>
      </c>
      <c r="F274" s="22">
        <f>(E274/dane!$B$8)*dane!$L$31</f>
        <v>124498.65358165356</v>
      </c>
      <c r="G274" s="22">
        <f xml:space="preserve"> B274*dane!$B$10</f>
        <v>16.508534117006906</v>
      </c>
    </row>
    <row r="275" spans="1:7">
      <c r="A275" s="22">
        <v>8.2199999999997386E-2</v>
      </c>
      <c r="B275" s="22">
        <v>1.8324599138170177E-2</v>
      </c>
      <c r="C275" s="22">
        <v>-2.1814271141096304</v>
      </c>
      <c r="D275" s="22">
        <v>-89.003040192115748</v>
      </c>
      <c r="E275" s="22">
        <v>20300590.834648475</v>
      </c>
      <c r="F275" s="22">
        <f>(E275/dane!$B$8)*dane!$L$31</f>
        <v>124065.6108437517</v>
      </c>
      <c r="G275" s="22">
        <f xml:space="preserve"> B275*dane!$B$10</f>
        <v>15.942401250208054</v>
      </c>
    </row>
    <row r="276" spans="1:7">
      <c r="A276" s="22">
        <v>8.2499999999997312E-2</v>
      </c>
      <c r="B276" s="22">
        <v>1.7665863624983218E-2</v>
      </c>
      <c r="C276" s="22">
        <v>-2.208077319394286</v>
      </c>
      <c r="D276" s="22">
        <v>-88.688553273246399</v>
      </c>
      <c r="E276" s="22">
        <v>20228859.91119872</v>
      </c>
      <c r="F276" s="22">
        <f>(E276/dane!$B$8)*dane!$L$31</f>
        <v>123627.2324287259</v>
      </c>
      <c r="G276" s="22">
        <f xml:space="preserve"> B276*dane!$B$10</f>
        <v>15.3693013537354</v>
      </c>
    </row>
    <row r="277" spans="1:7">
      <c r="A277" s="22">
        <v>8.2799999999997237E-2</v>
      </c>
      <c r="B277" s="22">
        <v>1.6999148361882727E-2</v>
      </c>
      <c r="C277" s="22">
        <v>-2.2346325621219463</v>
      </c>
      <c r="D277" s="22">
        <v>-88.370252134774731</v>
      </c>
      <c r="E277" s="22">
        <v>20156259.007225461</v>
      </c>
      <c r="F277" s="22">
        <f>(E277/dane!$B$8)*dane!$L$31</f>
        <v>123183.53718987219</v>
      </c>
      <c r="G277" s="22">
        <f xml:space="preserve"> B277*dane!$B$10</f>
        <v>14.789259074837974</v>
      </c>
    </row>
    <row r="278" spans="1:7">
      <c r="A278" s="22">
        <v>8.3099999999997162E-2</v>
      </c>
      <c r="B278" s="22">
        <v>1.63244820222243E-2</v>
      </c>
      <c r="C278" s="22">
        <v>-2.2610917002339845</v>
      </c>
      <c r="D278" s="22">
        <v>-88.048150465845495</v>
      </c>
      <c r="E278" s="22">
        <v>20082791.245068397</v>
      </c>
      <c r="F278" s="22">
        <f>(E278/dane!$B$8)*dane!$L$31</f>
        <v>122734.54420914658</v>
      </c>
      <c r="G278" s="22">
        <f xml:space="preserve"> B278*dane!$B$10</f>
        <v>14.202299359335141</v>
      </c>
    </row>
    <row r="279" spans="1:7">
      <c r="A279" s="22">
        <v>8.3399999999997088E-2</v>
      </c>
      <c r="B279" s="22">
        <v>1.5641893621314691E-2</v>
      </c>
      <c r="C279" s="22">
        <v>-2.2874535958049362</v>
      </c>
      <c r="D279" s="22">
        <v>-87.722262119052445</v>
      </c>
      <c r="E279" s="22">
        <v>20008459.784348119</v>
      </c>
      <c r="F279" s="22">
        <f>(E279/dane!$B$8)*dane!$L$31</f>
        <v>122280.27279634465</v>
      </c>
      <c r="G279" s="22">
        <f xml:space="preserve"> B279*dane!$B$10</f>
        <v>13.608447450543782</v>
      </c>
    </row>
    <row r="280" spans="1:7">
      <c r="A280" s="22">
        <v>8.3699999999997013E-2</v>
      </c>
      <c r="B280" s="22">
        <v>1.4951412515163917E-2</v>
      </c>
      <c r="C280" s="22">
        <v>-2.3137171150914346</v>
      </c>
      <c r="D280" s="22">
        <v>-87.392601109842616</v>
      </c>
      <c r="E280" s="22">
        <v>19933267.821830202</v>
      </c>
      <c r="F280" s="22">
        <f>(E280/dane!$B$8)*dane!$L$31</f>
        <v>121820.74248827087</v>
      </c>
      <c r="G280" s="22">
        <f xml:space="preserve"> B280*dane!$B$10</f>
        <v>13.007728888192608</v>
      </c>
    </row>
    <row r="281" spans="1:7">
      <c r="A281" s="22">
        <v>8.3999999999996938E-2</v>
      </c>
      <c r="B281" s="22">
        <v>1.4253068399222781E-2</v>
      </c>
      <c r="C281" s="22">
        <v>-2.3398811285809744</v>
      </c>
      <c r="D281" s="22">
        <v>-87.059181615913545</v>
      </c>
      <c r="E281" s="22">
        <v>19857218.591287747</v>
      </c>
      <c r="F281" s="22">
        <f>(E281/dane!$B$8)*dane!$L$31</f>
        <v>121355.97304789854</v>
      </c>
      <c r="G281" s="22">
        <f xml:space="preserve"> B281*dane!$B$10</f>
        <v>12.400169507323819</v>
      </c>
    </row>
    <row r="282" spans="1:7">
      <c r="A282" s="22">
        <v>8.4299999999996864E-2</v>
      </c>
      <c r="B282" s="22">
        <v>1.3546891307105739E-2</v>
      </c>
      <c r="C282" s="22">
        <v>-2.3659445110404849</v>
      </c>
      <c r="D282" s="22">
        <v>-86.72201797660351</v>
      </c>
      <c r="E282" s="22">
        <v>19780315.363362279</v>
      </c>
      <c r="F282" s="22">
        <f>(E282/dane!$B$8)*dane!$L$31</f>
        <v>120885.98446351975</v>
      </c>
      <c r="G282" s="22">
        <f xml:space="preserve"> B282*dane!$B$10</f>
        <v>11.785795437181992</v>
      </c>
    </row>
    <row r="283" spans="1:7">
      <c r="A283" s="22">
        <v>8.4599999999996789E-2</v>
      </c>
      <c r="B283" s="22">
        <v>1.2832911609299266E-2</v>
      </c>
      <c r="C283" s="22">
        <v>-2.3919061415647236</v>
      </c>
      <c r="D283" s="22">
        <v>-86.381124692274952</v>
      </c>
      <c r="E283" s="22">
        <v>19702561.445423119</v>
      </c>
      <c r="F283" s="22">
        <f>(E283/dane!$B$8)*dane!$L$31</f>
        <v>120410.79694788587</v>
      </c>
      <c r="G283" s="22">
        <f xml:space="preserve"> B283*dane!$B$10</f>
        <v>11.164633100090361</v>
      </c>
    </row>
    <row r="284" spans="1:7">
      <c r="A284" s="22">
        <v>8.4899999999996714E-2</v>
      </c>
      <c r="B284" s="22">
        <v>1.2111160011855708E-2</v>
      </c>
      <c r="C284" s="22">
        <v>-2.4177649036244842</v>
      </c>
      <c r="D284" s="22">
        <v>-86.036516423690699</v>
      </c>
      <c r="E284" s="22">
        <v>19623960.181425113</v>
      </c>
      <c r="F284" s="22">
        <f>(E284/dane!$B$8)*dane!$L$31</f>
        <v>119930.43093733805</v>
      </c>
      <c r="G284" s="22">
        <f xml:space="preserve"> B284*dane!$B$10</f>
        <v>10.536709210314466</v>
      </c>
    </row>
    <row r="285" spans="1:7">
      <c r="A285" s="22">
        <v>8.519999999999664E-2</v>
      </c>
      <c r="B285" s="22">
        <v>1.1381667555072706E-2</v>
      </c>
      <c r="C285" s="22">
        <v>-2.4435196851146124</v>
      </c>
      <c r="D285" s="22">
        <v>-85.68820799138355</v>
      </c>
      <c r="E285" s="22">
        <v>19544514.951764837</v>
      </c>
      <c r="F285" s="22">
        <f>(E285/dane!$B$8)*dane!$L$31</f>
        <v>119444.90709092854</v>
      </c>
      <c r="G285" s="22">
        <f xml:space="preserve"> B285*dane!$B$10</f>
        <v>9.9020507729132543</v>
      </c>
    </row>
    <row r="286" spans="1:7">
      <c r="A286" s="22">
        <v>8.5499999999996565E-2</v>
      </c>
      <c r="B286" s="22">
        <v>1.0644465612158248E-2</v>
      </c>
      <c r="C286" s="22">
        <v>-2.4691693784018383</v>
      </c>
      <c r="D286" s="22">
        <v>-85.336214375018884</v>
      </c>
      <c r="E286" s="22">
        <v>19464229.173135217</v>
      </c>
      <c r="F286" s="22">
        <f>(E286/dane!$B$8)*dane!$L$31</f>
        <v>118954.24628953209</v>
      </c>
      <c r="G286" s="22">
        <f xml:space="preserve"> B286*dane!$B$10</f>
        <v>9.2606850825776768</v>
      </c>
    </row>
    <row r="287" spans="1:7">
      <c r="A287" s="22">
        <v>8.579999999999649E-2</v>
      </c>
      <c r="B287" s="22">
        <v>9.8995858878814132E-3</v>
      </c>
      <c r="C287" s="22">
        <v>-2.4947128803724072</v>
      </c>
      <c r="D287" s="22">
        <v>-84.9805507127504</v>
      </c>
      <c r="E287" s="22">
        <v>19383106.298378579</v>
      </c>
      <c r="F287" s="22">
        <f>(E287/dane!$B$8)*dane!$L$31</f>
        <v>118458.46963494795</v>
      </c>
      <c r="G287" s="22">
        <f xml:space="preserve"> B287*dane!$B$10</f>
        <v>8.6126397224568301</v>
      </c>
    </row>
    <row r="288" spans="1:7">
      <c r="A288" s="22">
        <v>8.6099999999996416E-2</v>
      </c>
      <c r="B288" s="22">
        <v>9.1470604172088511E-3</v>
      </c>
      <c r="C288" s="22">
        <v>-2.5201490924795231</v>
      </c>
      <c r="D288" s="22">
        <v>-84.621232300569105</v>
      </c>
      <c r="E288" s="22">
        <v>19301149.816338159</v>
      </c>
      <c r="F288" s="22">
        <f>(E288/dane!$B$8)*dane!$L$31</f>
        <v>117957.59844899236</v>
      </c>
      <c r="G288" s="22">
        <f xml:space="preserve"> B288*dane!$B$10</f>
        <v>7.9579425629717004</v>
      </c>
    </row>
    <row r="289" spans="1:7">
      <c r="A289" s="22">
        <v>8.6399999999996341E-2</v>
      </c>
      <c r="B289" s="22">
        <v>8.3869215639270356E-3</v>
      </c>
      <c r="C289" s="22">
        <v>-2.5454769207905974</v>
      </c>
      <c r="D289" s="22">
        <v>-84.258274591645431</v>
      </c>
      <c r="E289" s="22">
        <v>19218363.251708049</v>
      </c>
      <c r="F289" s="22">
        <f>(E289/dane!$B$8)*dane!$L$31</f>
        <v>117451.65427258148</v>
      </c>
      <c r="G289" s="22">
        <f xml:space="preserve"> B289*dane!$B$10</f>
        <v>7.2966217606165209</v>
      </c>
    </row>
    <row r="290" spans="1:7">
      <c r="A290" s="22">
        <v>8.6699999999996266E-2</v>
      </c>
      <c r="B290" s="22">
        <v>7.6192020192504262E-3</v>
      </c>
      <c r="C290" s="22">
        <v>-2.5706952760342898</v>
      </c>
      <c r="D290" s="22">
        <v>-83.891693195664757</v>
      </c>
      <c r="E290" s="22">
        <v>19134750.164881635</v>
      </c>
      <c r="F290" s="22">
        <f>(E290/dane!$B$8)*dane!$L$31</f>
        <v>116940.6588648052</v>
      </c>
      <c r="G290" s="22">
        <f xml:space="preserve"> B290*dane!$B$10</f>
        <v>6.6287057567478707</v>
      </c>
    </row>
    <row r="291" spans="1:7">
      <c r="A291" s="22">
        <v>8.6999999999996191E-2</v>
      </c>
      <c r="B291" s="22">
        <v>6.8439348004154981E-3</v>
      </c>
      <c r="C291" s="22">
        <v>-2.5958030736473576</v>
      </c>
      <c r="D291" s="22">
        <v>-83.521503878155869</v>
      </c>
      <c r="E291" s="22">
        <v>19050314.151798442</v>
      </c>
      <c r="F291" s="22">
        <f>(E291/dane!$B$8)*dane!$L$31</f>
        <v>116424.63420199104</v>
      </c>
      <c r="G291" s="22">
        <f xml:space="preserve"> B291*dane!$B$10</f>
        <v>5.9542232763614837</v>
      </c>
    </row>
    <row r="292" spans="1:7">
      <c r="A292" s="22">
        <v>8.7299999999996117E-2</v>
      </c>
      <c r="B292" s="22">
        <v>6.0611532492607879E-3</v>
      </c>
      <c r="C292" s="22">
        <v>-2.6207992338213</v>
      </c>
      <c r="D292" s="22">
        <v>-83.147722559813204</v>
      </c>
      <c r="E292" s="22">
        <v>18965058.84378951</v>
      </c>
      <c r="F292" s="22">
        <f>(E292/dane!$B$8)*dane!$L$31</f>
        <v>115903.60247675933</v>
      </c>
      <c r="G292" s="22">
        <f xml:space="preserve"> B292*dane!$B$10</f>
        <v>5.2732033268568852</v>
      </c>
    </row>
    <row r="293" spans="1:7">
      <c r="A293" s="22">
        <v>8.7599999999996042E-2</v>
      </c>
      <c r="B293" s="22">
        <v>5.2708910307929565E-3</v>
      </c>
      <c r="C293" s="22">
        <v>-2.6456826815487933</v>
      </c>
      <c r="D293" s="22">
        <v>-82.770365315811915</v>
      </c>
      <c r="E293" s="22">
        <v>18878987.907421213</v>
      </c>
      <c r="F293" s="22">
        <f>(E293/dane!$B$8)*dane!$L$31</f>
        <v>115377.58609706849</v>
      </c>
      <c r="G293" s="22">
        <f xml:space="preserve"> B293*dane!$B$10</f>
        <v>4.5856751967898726</v>
      </c>
    </row>
    <row r="294" spans="1:7">
      <c r="A294" s="22">
        <v>8.7899999999995967E-2</v>
      </c>
      <c r="B294" s="22">
        <v>4.4731821317389635E-3</v>
      </c>
      <c r="C294" s="22">
        <v>-2.6704523466699301</v>
      </c>
      <c r="D294" s="22">
        <v>-82.389448375116686</v>
      </c>
      <c r="E294" s="22">
        <v>18792105.044337567</v>
      </c>
      <c r="F294" s="22">
        <f>(E294/dane!$B$8)*dane!$L$31</f>
        <v>114846.60768525158</v>
      </c>
      <c r="G294" s="22">
        <f xml:space="preserve"> B294*dane!$B$10</f>
        <v>3.8916684546128981</v>
      </c>
    </row>
    <row r="295" spans="1:7">
      <c r="A295" s="22">
        <v>8.8199999999995893E-2</v>
      </c>
      <c r="B295" s="22">
        <v>3.6680608590844072E-3</v>
      </c>
      <c r="C295" s="22">
        <v>-2.6951071639182378</v>
      </c>
      <c r="D295" s="22">
        <v>-82.00498811978369</v>
      </c>
      <c r="E295" s="22">
        <v>18704413.991101038</v>
      </c>
      <c r="F295" s="22">
        <f>(E295/dane!$B$8)*dane!$L$31</f>
        <v>114310.69007704321</v>
      </c>
      <c r="G295" s="22">
        <f xml:space="preserve"> B295*dane!$B$10</f>
        <v>3.1912129474034341</v>
      </c>
    </row>
    <row r="296" spans="1:7">
      <c r="A296" s="22">
        <v>8.8499999999995818E-2</v>
      </c>
      <c r="B296" s="22">
        <v>2.8555618385980811E-3</v>
      </c>
      <c r="C296" s="22">
        <v>-2.7196460729664964</v>
      </c>
      <c r="D296" s="22">
        <v>-81.617001084256074</v>
      </c>
      <c r="E296" s="22">
        <v>18615918.519031849</v>
      </c>
      <c r="F296" s="22">
        <f>(E296/dane!$B$8)*dane!$L$31</f>
        <v>113769.85632059751</v>
      </c>
      <c r="G296" s="22">
        <f xml:space="preserve"> B296*dane!$B$10</f>
        <v>2.4843387995803305</v>
      </c>
    </row>
    <row r="297" spans="1:7">
      <c r="A297" s="22">
        <v>8.8799999999995743E-2</v>
      </c>
      <c r="B297" s="22">
        <v>2.0357200133428316E-3</v>
      </c>
      <c r="C297" s="22">
        <v>-2.7440680184723356</v>
      </c>
      <c r="D297" s="22">
        <v>-81.225503954652893</v>
      </c>
      <c r="E297" s="22">
        <v>18526622.43404578</v>
      </c>
      <c r="F297" s="22">
        <f>(E297/dane!$B$8)*dane!$L$31</f>
        <v>113224.12967549694</v>
      </c>
      <c r="G297" s="22">
        <f xml:space="preserve"> B297*dane!$B$10</f>
        <v>1.7710764116082636</v>
      </c>
    </row>
    <row r="298" spans="1:7">
      <c r="A298" s="22">
        <v>8.9099999999995669E-2</v>
      </c>
      <c r="B298" s="22">
        <v>1.2085706421727641E-3</v>
      </c>
      <c r="C298" s="22">
        <v>-2.7683719501236266</v>
      </c>
      <c r="D298" s="22">
        <v>-80.830513568051387</v>
      </c>
      <c r="E298" s="22">
        <v>18436529.576490484</v>
      </c>
      <c r="F298" s="22">
        <f>(E298/dane!$B$8)*dane!$L$31</f>
        <v>112673.53361175186</v>
      </c>
      <c r="G298" s="22">
        <f xml:space="preserve"> B298*dane!$B$10</f>
        <v>1.0514564586903048</v>
      </c>
    </row>
    <row r="299" spans="1:7">
      <c r="A299" s="22">
        <v>8.9399999999995594E-2</v>
      </c>
      <c r="B299" s="22">
        <v>3.7418399800900448E-4</v>
      </c>
      <c r="C299" s="22">
        <v>-2.7916085178333754</v>
      </c>
      <c r="D299" s="22">
        <v>-58.219566093453807</v>
      </c>
      <c r="E299" s="22">
        <v>13279227.173395772</v>
      </c>
      <c r="F299" s="22">
        <f>(E299/dane!$B$8)*dane!$L$31</f>
        <v>81155.04835398159</v>
      </c>
      <c r="G299" s="22">
        <f xml:space="preserve"> B299*dane!$B$10</f>
        <v>0.32554007826783388</v>
      </c>
    </row>
    <row r="300" spans="1:7">
      <c r="A300" s="22">
        <v>8.9699999999995519E-2</v>
      </c>
      <c r="B300" s="22">
        <v>-4.6404636074708706E-4</v>
      </c>
      <c r="C300" s="22">
        <v>-2.7911013503470659</v>
      </c>
      <c r="D300" s="22">
        <v>53.046852676973081</v>
      </c>
      <c r="E300" s="22">
        <v>-12099389.514522474</v>
      </c>
      <c r="F300" s="22">
        <f>(E300/dane!$B$8)*dane!$L$31</f>
        <v>-73944.554775895915</v>
      </c>
      <c r="G300" s="22">
        <f xml:space="preserve"> B300*dane!$B$10</f>
        <v>-0.40372033384996575</v>
      </c>
    </row>
    <row r="301" spans="1:7">
      <c r="A301" s="22">
        <v>8.9999999999995445E-2</v>
      </c>
      <c r="B301" s="22">
        <v>-1.2976795641064024E-3</v>
      </c>
      <c r="C301" s="22">
        <v>-2.7676283326367144</v>
      </c>
      <c r="D301" s="22">
        <v>80.812046851023098</v>
      </c>
      <c r="E301" s="22">
        <v>-18432317.526366785</v>
      </c>
      <c r="F301" s="22">
        <f>(E301/dane!$B$8)*dane!$L$31</f>
        <v>-112647.79196828158</v>
      </c>
      <c r="G301" s="22">
        <f xml:space="preserve"> B301*dane!$B$10</f>
        <v>-1.12898122077257</v>
      </c>
    </row>
    <row r="302" spans="1:7">
      <c r="A302" s="22">
        <v>9.029999999999537E-2</v>
      </c>
      <c r="B302" s="22">
        <v>-2.1240444075461633E-3</v>
      </c>
      <c r="C302" s="22">
        <v>-2.7433207998224121</v>
      </c>
      <c r="D302" s="22">
        <v>81.207198406692001</v>
      </c>
      <c r="E302" s="22">
        <v>-18522447.144770764</v>
      </c>
      <c r="F302" s="22">
        <f>(E302/dane!$B$8)*dane!$L$31</f>
        <v>-113198.61269332761</v>
      </c>
      <c r="G302" s="22">
        <f xml:space="preserve"> B302*dane!$B$10</f>
        <v>-1.8479186345651621</v>
      </c>
    </row>
    <row r="303" spans="1:7">
      <c r="A303" s="22">
        <v>9.0599999999995295E-2</v>
      </c>
      <c r="B303" s="22">
        <v>-2.9430979065128557E-3</v>
      </c>
      <c r="C303" s="22">
        <v>-2.7188952852891184</v>
      </c>
      <c r="D303" s="22">
        <v>81.598857492627459</v>
      </c>
      <c r="E303" s="22">
        <v>-18611780.17017176</v>
      </c>
      <c r="F303" s="22">
        <f>(E303/dane!$B$8)*dane!$L$31</f>
        <v>-113744.56509713542</v>
      </c>
      <c r="G303" s="22">
        <f xml:space="preserve"> B303*dane!$B$10</f>
        <v>-2.5604951786661845</v>
      </c>
    </row>
    <row r="304" spans="1:7">
      <c r="A304" s="22">
        <v>9.0899999999995221E-2</v>
      </c>
      <c r="B304" s="22">
        <v>-3.754804836055844E-3</v>
      </c>
      <c r="C304" s="22">
        <v>-2.6943528395024554</v>
      </c>
      <c r="D304" s="22">
        <v>81.987007264786939</v>
      </c>
      <c r="E304" s="22">
        <v>-18700312.760633424</v>
      </c>
      <c r="F304" s="22">
        <f>(E304/dane!$B$8)*dane!$L$31</f>
        <v>-114285.62569998541</v>
      </c>
      <c r="G304" s="22">
        <f xml:space="preserve"> B304*dane!$B$10</f>
        <v>-3.2666802073685841</v>
      </c>
    </row>
    <row r="305" spans="1:7">
      <c r="A305" s="22">
        <v>9.1199999999995146E-2</v>
      </c>
      <c r="B305" s="22">
        <v>-4.5591302871776556E-3</v>
      </c>
      <c r="C305" s="22">
        <v>-2.6696945179568954</v>
      </c>
      <c r="D305" s="22">
        <v>82.371631030052583</v>
      </c>
      <c r="E305" s="22">
        <v>-18788041.108643625</v>
      </c>
      <c r="F305" s="22">
        <f>(E305/dane!$B$8)*dane!$L$31</f>
        <v>-114821.77123253918</v>
      </c>
      <c r="G305" s="22">
        <f xml:space="preserve"> B305*dane!$B$10</f>
        <v>-3.9664433498445604</v>
      </c>
    </row>
    <row r="306" spans="1:7">
      <c r="A306" s="22">
        <v>9.1499999999995071E-2</v>
      </c>
      <c r="B306" s="22">
        <v>-5.3560396683353124E-3</v>
      </c>
      <c r="C306" s="22">
        <v>-2.64492138113037</v>
      </c>
      <c r="D306" s="22">
        <v>82.75271224694923</v>
      </c>
      <c r="E306" s="22">
        <v>-18874961.441278215</v>
      </c>
      <c r="F306" s="22">
        <f>(E306/dane!$B$8)*dane!$L$31</f>
        <v>-115352.9786368403</v>
      </c>
      <c r="G306" s="22">
        <f xml:space="preserve"> B306*dane!$B$10</f>
        <v>-4.6597545114517214</v>
      </c>
    </row>
    <row r="307" spans="1:7">
      <c r="A307" s="22">
        <v>9.1799999999994997E-2</v>
      </c>
      <c r="B307" s="22">
        <v>-6.1454987069280024E-3</v>
      </c>
      <c r="C307" s="22">
        <v>-2.6200344944386571</v>
      </c>
      <c r="D307" s="22">
        <v>83.130234526355679</v>
      </c>
      <c r="E307" s="22">
        <v>-18961070.020363282</v>
      </c>
      <c r="F307" s="22">
        <f>(E307/dane!$B$8)*dane!$L$31</f>
        <v>-115879.22506730589</v>
      </c>
      <c r="G307" s="22">
        <f xml:space="preserve"> B307*dane!$B$10</f>
        <v>-5.3465838750273624</v>
      </c>
    </row>
    <row r="308" spans="1:7">
      <c r="A308" s="22">
        <v>9.2099999999994922E-2</v>
      </c>
      <c r="B308" s="22">
        <v>-6.9274734507710403E-3</v>
      </c>
      <c r="C308" s="22">
        <v>-2.5950349281895653</v>
      </c>
      <c r="D308" s="22">
        <v>83.504181632209566</v>
      </c>
      <c r="E308" s="22">
        <v>-19046363.142635901</v>
      </c>
      <c r="F308" s="22">
        <f>(E308/dane!$B$8)*dane!$L$31</f>
        <v>-116400.48789170913</v>
      </c>
      <c r="G308" s="22">
        <f xml:space="preserve"> B308*dane!$B$10</f>
        <v>-6.0269019021708052</v>
      </c>
    </row>
    <row r="309" spans="1:7">
      <c r="A309" s="22">
        <v>9.2399999999994847E-2</v>
      </c>
      <c r="B309" s="22">
        <v>-7.7019302695560442E-3</v>
      </c>
      <c r="C309" s="22">
        <v>-2.5699237575369009</v>
      </c>
      <c r="D309" s="22">
        <v>83.874537482205753</v>
      </c>
      <c r="E309" s="22">
        <v>-19130837.139903434</v>
      </c>
      <c r="F309" s="22">
        <f>(E309/dane!$B$8)*dane!$L$31</f>
        <v>-116916.7446921527</v>
      </c>
      <c r="G309" s="22">
        <f xml:space="preserve"> B309*dane!$B$10</f>
        <v>-6.7006793345137581</v>
      </c>
    </row>
    <row r="310" spans="1:7">
      <c r="A310" s="22">
        <v>9.2699999999994773E-2</v>
      </c>
      <c r="B310" s="22">
        <v>-8.4688358562972701E-3</v>
      </c>
      <c r="C310" s="22">
        <v>-2.5447020624342298</v>
      </c>
      <c r="D310" s="22">
        <v>84.241286148487774</v>
      </c>
      <c r="E310" s="22">
        <v>-19214488.379201256</v>
      </c>
      <c r="F310" s="22">
        <f>(E310/dane!$B$8)*dane!$L$31</f>
        <v>-117427.97326603283</v>
      </c>
      <c r="G310" s="22">
        <f xml:space="preserve"> B310*dane!$B$10</f>
        <v>-7.3678871949786249</v>
      </c>
    </row>
    <row r="311" spans="1:7">
      <c r="A311" s="22">
        <v>9.2999999999994698E-2</v>
      </c>
      <c r="B311" s="22">
        <v>-9.2281572287640536E-3</v>
      </c>
      <c r="C311" s="22">
        <v>-2.5193709275884313</v>
      </c>
      <c r="D311" s="22">
        <v>84.604411858333009</v>
      </c>
      <c r="E311" s="22">
        <v>-19297313.26294902</v>
      </c>
      <c r="F311" s="22">
        <f>(E311/dane!$B$8)*dane!$L$31</f>
        <v>-117934.15162699416</v>
      </c>
      <c r="G311" s="22">
        <f xml:space="preserve"> B311*dane!$B$10</f>
        <v>-8.028496789024727</v>
      </c>
    </row>
    <row r="312" spans="1:7">
      <c r="A312" s="22">
        <v>9.3299999999994623E-2</v>
      </c>
      <c r="B312" s="22">
        <v>-9.979861730899247E-3</v>
      </c>
      <c r="C312" s="22">
        <v>-2.4939314424130492</v>
      </c>
      <c r="D312" s="22">
        <v>84.963898994830942</v>
      </c>
      <c r="E312" s="22">
        <v>-19379308.229105361</v>
      </c>
      <c r="F312" s="22">
        <f>(E312/dane!$B$8)*dane!$L$31</f>
        <v>-118435.25800587534</v>
      </c>
      <c r="G312" s="22">
        <f xml:space="preserve"> B312*dane!$B$10</f>
        <v>-8.6824797058823453</v>
      </c>
    </row>
    <row r="313" spans="1:7">
      <c r="A313" s="22">
        <v>9.3599999999994549E-2</v>
      </c>
      <c r="B313" s="22">
        <v>-1.0723917034223682E-2</v>
      </c>
      <c r="C313" s="22">
        <v>-2.4683847009814373</v>
      </c>
      <c r="D313" s="22">
        <v>85.319732097554805</v>
      </c>
      <c r="E313" s="22">
        <v>-19460469.751321096</v>
      </c>
      <c r="F313" s="22">
        <f>(E313/dane!$B$8)*dane!$L$31</f>
        <v>-118931.27085164521</v>
      </c>
      <c r="G313" s="22">
        <f xml:space="preserve"> B313*dane!$B$10</f>
        <v>-9.3298078197746044</v>
      </c>
    </row>
    <row r="314" spans="1:7">
      <c r="A314" s="22">
        <v>9.3899999999994474E-2</v>
      </c>
      <c r="B314" s="22">
        <v>-1.1460291139226505E-2</v>
      </c>
      <c r="C314" s="22">
        <v>-2.4427318019797108</v>
      </c>
      <c r="D314" s="22">
        <v>85.671895863226467</v>
      </c>
      <c r="E314" s="22">
        <v>-19540794.339090884</v>
      </c>
      <c r="F314" s="22">
        <f>(E314/dane!$B$8)*dane!$L$31</f>
        <v>-119422.16883232971</v>
      </c>
      <c r="G314" s="22">
        <f xml:space="preserve"> B314*dane!$B$10</f>
        <v>-9.9704532911270594</v>
      </c>
    </row>
    <row r="315" spans="1:7">
      <c r="A315" s="22">
        <v>9.4199999999994399E-2</v>
      </c>
      <c r="B315" s="22">
        <v>-1.2188952376741377E-2</v>
      </c>
      <c r="C315" s="22">
        <v>-2.4169738486594903</v>
      </c>
      <c r="D315" s="22">
        <v>86.020375146374661</v>
      </c>
      <c r="E315" s="22">
        <v>-19620278.537903339</v>
      </c>
      <c r="F315" s="22">
        <f>(E315/dane!$B$8)*dane!$L$31</f>
        <v>-119907.93083592926</v>
      </c>
      <c r="G315" s="22">
        <f xml:space="preserve"> B315*dane!$B$10</f>
        <v>-10.604388567764998</v>
      </c>
    </row>
    <row r="316" spans="1:7">
      <c r="A316" s="22">
        <v>9.4499999999994325E-2</v>
      </c>
      <c r="B316" s="22">
        <v>-1.2909869409308466E-2</v>
      </c>
      <c r="C316" s="22">
        <v>-2.39111194879046</v>
      </c>
      <c r="D316" s="22">
        <v>86.365154959986242</v>
      </c>
      <c r="E316" s="22">
        <v>-19698918.929389596</v>
      </c>
      <c r="F316" s="22">
        <f>(E316/dane!$B$8)*dane!$L$31</f>
        <v>-120388.5359713267</v>
      </c>
      <c r="G316" s="22">
        <f xml:space="preserve"> B316*dane!$B$10</f>
        <v>-11.231586386098366</v>
      </c>
    </row>
    <row r="317" spans="1:7">
      <c r="A317" s="22">
        <v>9.479999999999425E-2</v>
      </c>
      <c r="B317" s="22">
        <v>-1.3623011232522181E-2</v>
      </c>
      <c r="C317" s="22">
        <v>-2.3651472146127195</v>
      </c>
      <c r="D317" s="22">
        <v>86.706220476150776</v>
      </c>
      <c r="E317" s="22">
        <v>-19776712.131470323</v>
      </c>
      <c r="F317" s="22">
        <f>(E317/dane!$B$8)*dane!$L$31</f>
        <v>-120863.96356918577</v>
      </c>
      <c r="G317" s="22">
        <f xml:space="preserve"> B317*dane!$B$10</f>
        <v>-11.852019772294298</v>
      </c>
    </row>
    <row r="318" spans="1:7">
      <c r="A318" s="22">
        <v>9.5099999999994175E-2</v>
      </c>
      <c r="B318" s="22">
        <v>-1.4328347176364564E-2</v>
      </c>
      <c r="C318" s="22">
        <v>-2.3390807627889529</v>
      </c>
      <c r="D318" s="22">
        <v>87.043557026698252</v>
      </c>
      <c r="E318" s="22">
        <v>-19853654.798501182</v>
      </c>
      <c r="F318" s="22">
        <f>(E318/dane!$B$8)*dane!$L$31</f>
        <v>-121334.19318284008</v>
      </c>
      <c r="G318" s="22">
        <f xml:space="preserve"> B318*dane!$B$10</f>
        <v>-12.46566204343717</v>
      </c>
    </row>
    <row r="319" spans="1:7">
      <c r="A319" s="22">
        <v>9.5399999999994101E-2</v>
      </c>
      <c r="B319" s="22">
        <v>-1.5025846906524323E-2</v>
      </c>
      <c r="C319" s="22">
        <v>-2.3129137143564082</v>
      </c>
      <c r="D319" s="22">
        <v>87.377150103829933</v>
      </c>
      <c r="E319" s="22">
        <v>-19929743.62141671</v>
      </c>
      <c r="F319" s="22">
        <f>(E319/dane!$B$8)*dane!$L$31</f>
        <v>-121799.20458917241</v>
      </c>
      <c r="G319" s="22">
        <f xml:space="preserve"> B319*dane!$B$10</f>
        <v>-13.072486808676162</v>
      </c>
    </row>
    <row r="320" spans="1:7">
      <c r="A320" s="22">
        <v>9.5699999999994026E-2</v>
      </c>
      <c r="B320" s="22">
        <v>-1.5715480425701412E-2</v>
      </c>
      <c r="C320" s="22">
        <v>-2.2866471946786784</v>
      </c>
      <c r="D320" s="22">
        <v>87.706985360742195</v>
      </c>
      <c r="E320" s="22">
        <v>-20004975.327872623</v>
      </c>
      <c r="F320" s="22">
        <f>(E320/dane!$B$8)*dane!$L$31</f>
        <v>-122258.9777894844</v>
      </c>
      <c r="G320" s="22">
        <f xml:space="preserve"> B320*dane!$B$10</f>
        <v>-13.672467970360229</v>
      </c>
    </row>
    <row r="321" spans="1:7">
      <c r="A321" s="22">
        <v>9.5999999999993951E-2</v>
      </c>
      <c r="B321" s="22">
        <v>-1.6397218074897114E-2</v>
      </c>
      <c r="C321" s="22">
        <v>-2.2602823333973068</v>
      </c>
      <c r="D321" s="22">
        <v>88.033048612243675</v>
      </c>
      <c r="E321" s="22">
        <v>-20079346.682386566</v>
      </c>
      <c r="F321" s="22">
        <f>(E321/dane!$B$8)*dane!$L$31</f>
        <v>-122713.49301035676</v>
      </c>
      <c r="G321" s="22">
        <f xml:space="preserve"> B321*dane!$B$10</f>
        <v>-14.265579725160489</v>
      </c>
    </row>
    <row r="322" spans="1:7">
      <c r="A322" s="22">
        <v>9.6299999999993877E-2</v>
      </c>
      <c r="B322" s="22">
        <v>-1.7071030534689603E-2</v>
      </c>
      <c r="C322" s="22">
        <v>-2.2338202643832044</v>
      </c>
      <c r="D322" s="22">
        <v>88.355325835365235</v>
      </c>
      <c r="E322" s="22">
        <v>-20152854.486477252</v>
      </c>
      <c r="F322" s="22">
        <f>(E322/dane!$B$8)*dane!$L$31</f>
        <v>-123162.73070449955</v>
      </c>
      <c r="G322" s="22">
        <f xml:space="preserve"> B322*dane!$B$10</f>
        <v>-14.851796565179955</v>
      </c>
    </row>
    <row r="323" spans="1:7">
      <c r="A323" s="22">
        <v>9.6599999999993802E-2</v>
      </c>
      <c r="B323" s="22">
        <v>-1.7736888826494848E-2</v>
      </c>
      <c r="C323" s="22">
        <v>-2.2072621256878873</v>
      </c>
      <c r="D323" s="22">
        <v>88.673803169963037</v>
      </c>
      <c r="E323" s="22">
        <v>-20225495.578802008</v>
      </c>
      <c r="F323" s="22">
        <f>(E323/dane!$B$8)*dane!$L$31</f>
        <v>-123606.67155159285</v>
      </c>
      <c r="G323" s="22">
        <f xml:space="preserve"> B323*dane!$B$10</f>
        <v>-15.431093279050517</v>
      </c>
    </row>
    <row r="324" spans="1:7">
      <c r="A324" s="22">
        <v>9.6899999999993727E-2</v>
      </c>
      <c r="B324" s="22">
        <v>-1.8394764313812942E-2</v>
      </c>
      <c r="C324" s="22">
        <v>-2.1806090594945289</v>
      </c>
      <c r="D324" s="22">
        <v>88.988466919314746</v>
      </c>
      <c r="E324" s="22">
        <v>-20297266.835292764</v>
      </c>
      <c r="F324" s="22">
        <f>(E324/dane!$B$8)*dane!$L$31</f>
        <v>-124045.29645911777</v>
      </c>
      <c r="G324" s="22">
        <f xml:space="preserve"> B324*dane!$B$10</f>
        <v>-16.003444953017258</v>
      </c>
    </row>
    <row r="325" spans="1:7">
      <c r="A325" s="22">
        <v>9.7199999999993653E-2</v>
      </c>
      <c r="B325" s="22">
        <v>-1.9044628703459618E-2</v>
      </c>
      <c r="C325" s="22">
        <v>-2.1538622120688378</v>
      </c>
      <c r="D325" s="22">
        <v>89.29930355070843</v>
      </c>
      <c r="E325" s="22">
        <v>-20368165.169290379</v>
      </c>
      <c r="F325" s="22">
        <f>(E325/dane!$B$8)*dane!$L$31</f>
        <v>-124478.58656317748</v>
      </c>
      <c r="G325" s="22">
        <f xml:space="preserve"> B325*dane!$B$10</f>
        <v>-16.568826972009866</v>
      </c>
    </row>
    <row r="326" spans="1:7">
      <c r="A326" s="22">
        <v>9.7499999999993578E-2</v>
      </c>
      <c r="B326" s="22">
        <v>-1.9686454046783073E-2</v>
      </c>
      <c r="C326" s="22">
        <v>-2.127022733709766</v>
      </c>
      <c r="D326" s="22">
        <v>89.606299696024692</v>
      </c>
      <c r="E326" s="22">
        <v>-20438187.531677406</v>
      </c>
      <c r="F326" s="22">
        <f>(E326/dane!$B$8)*dane!$L$31</f>
        <v>-124906.52322930848</v>
      </c>
      <c r="G326" s="22">
        <f xml:space="preserve"> B326*dane!$B$10</f>
        <v>-17.127215020701275</v>
      </c>
    </row>
    <row r="327" spans="1:7">
      <c r="A327" s="22">
        <v>9.7799999999993503E-2</v>
      </c>
      <c r="B327" s="22">
        <v>-2.0320212740865966E-2</v>
      </c>
      <c r="C327" s="22">
        <v>-2.1000917787000319</v>
      </c>
      <c r="D327" s="22">
        <v>89.909442152311428</v>
      </c>
      <c r="E327" s="22">
        <v>-20507330.911009211</v>
      </c>
      <c r="F327" s="22">
        <f>(E327/dane!$B$8)*dane!$L$31</f>
        <v>-125329.08805328202</v>
      </c>
      <c r="G327" s="22">
        <f xml:space="preserve"> B327*dane!$B$10</f>
        <v>-17.67858508455339</v>
      </c>
    </row>
    <row r="328" spans="1:7">
      <c r="A328" s="22">
        <v>9.8099999999993429E-2</v>
      </c>
      <c r="B328" s="22">
        <v>-2.0945877529712512E-2</v>
      </c>
      <c r="C328" s="22">
        <v>-2.0730705052564824</v>
      </c>
      <c r="D328" s="22">
        <v>90.208717882351863</v>
      </c>
      <c r="E328" s="22">
        <v>-20575592.333643511</v>
      </c>
      <c r="F328" s="22">
        <f>(E328/dane!$B$8)*dane!$L$31</f>
        <v>-125746.26286189562</v>
      </c>
      <c r="G328" s="22">
        <f xml:space="preserve"> B328*dane!$B$10</f>
        <v>-18.222913450849884</v>
      </c>
    </row>
    <row r="329" spans="1:7">
      <c r="A329" s="22">
        <v>9.8399999999993354E-2</v>
      </c>
      <c r="B329" s="22">
        <v>-2.1563421505420677E-2</v>
      </c>
      <c r="C329" s="22">
        <v>-2.0459600754802802</v>
      </c>
      <c r="D329" s="22">
        <v>90.504114015225042</v>
      </c>
      <c r="E329" s="22">
        <v>-20642968.863868229</v>
      </c>
      <c r="F329" s="22">
        <f>(E329/dane!$B$8)*dane!$L$31</f>
        <v>-126158.0297137547</v>
      </c>
      <c r="G329" s="22">
        <f xml:space="preserve"> B329*dane!$B$10</f>
        <v>-18.760176709715989</v>
      </c>
    </row>
    <row r="330" spans="1:7">
      <c r="A330" s="22">
        <v>9.8699999999993279E-2</v>
      </c>
      <c r="B330" s="22">
        <v>-2.2172818109339441E-2</v>
      </c>
      <c r="C330" s="22">
        <v>-2.0187616553069256</v>
      </c>
      <c r="D330" s="22">
        <v>90.7956178468595</v>
      </c>
      <c r="E330" s="22">
        <v>-20709457.604027778</v>
      </c>
      <c r="F330" s="22">
        <f>(E330/dane!$B$8)*dane!$L$31</f>
        <v>-126564.37090004404</v>
      </c>
      <c r="G330" s="22">
        <f xml:space="preserve"> B330*dane!$B$10</f>
        <v>-19.290351755125315</v>
      </c>
    </row>
    <row r="331" spans="1:7">
      <c r="A331" s="22">
        <v>9.8999999999993205E-2</v>
      </c>
      <c r="B331" s="22">
        <v>-2.2774041133210948E-2</v>
      </c>
      <c r="C331" s="22">
        <v>-1.9914764144561119</v>
      </c>
      <c r="D331" s="22">
        <v>91.083216840579567</v>
      </c>
      <c r="E331" s="22">
        <v>-20775055.694647662</v>
      </c>
      <c r="F331" s="22">
        <f>(E331/dane!$B$8)*dane!$L$31</f>
        <v>-126965.26894528956</v>
      </c>
      <c r="G331" s="22">
        <f xml:space="preserve"> B331*dane!$B$10</f>
        <v>-19.813415785893525</v>
      </c>
    </row>
    <row r="332" spans="1:7">
      <c r="A332" s="22">
        <v>9.929999999999313E-2</v>
      </c>
      <c r="B332" s="22">
        <v>-2.3367064720297676E-2</v>
      </c>
      <c r="C332" s="22">
        <v>-1.9641055263814209</v>
      </c>
      <c r="D332" s="22">
        <v>91.366898627644517</v>
      </c>
      <c r="E332" s="22">
        <v>-20839760.314557463</v>
      </c>
      <c r="F332" s="22">
        <f>(E332/dane!$B$8)*dane!$L$31</f>
        <v>-127360.70660810976</v>
      </c>
      <c r="G332" s="22">
        <f xml:space="preserve"> B332*dane!$B$10</f>
        <v>-20.329346306658977</v>
      </c>
    </row>
    <row r="333" spans="1:7">
      <c r="A333" s="22">
        <v>9.9599999999993055E-2</v>
      </c>
      <c r="B333" s="22">
        <v>-2.3951863366494443E-2</v>
      </c>
      <c r="C333" s="22">
        <v>-1.936650168219856</v>
      </c>
      <c r="D333" s="22">
        <v>91.646651007780562</v>
      </c>
      <c r="E333" s="22">
        <v>-20903568.681012161</v>
      </c>
      <c r="F333" s="22">
        <f>(E333/dane!$B$8)*dane!$L$31</f>
        <v>-127750.66688195718</v>
      </c>
      <c r="G333" s="22">
        <f xml:space="preserve"> B333*dane!$B$10</f>
        <v>-20.838121128850165</v>
      </c>
    </row>
    <row r="334" spans="1:7">
      <c r="A334" s="22">
        <v>9.9899999999992981E-2</v>
      </c>
      <c r="B334" s="22">
        <v>-2.4528411921425283E-2</v>
      </c>
      <c r="C334" s="22">
        <v>-1.909111520741217</v>
      </c>
      <c r="D334" s="22">
        <v>91.922461949705465</v>
      </c>
      <c r="E334" s="22">
        <v>-20966478.049811818</v>
      </c>
      <c r="F334" s="22">
        <f>(E334/dane!$B$8)*dane!$L$31</f>
        <v>-128135.13299584993</v>
      </c>
      <c r="G334" s="22">
        <f xml:space="preserve"> B334*dane!$B$10</f>
        <v>-21.339718371639997</v>
      </c>
    </row>
    <row r="335" spans="1:7">
      <c r="A335" s="22">
        <v>0.10019999999999291</v>
      </c>
      <c r="B335" s="22">
        <v>-2.5096685589525058E-2</v>
      </c>
      <c r="C335" s="22">
        <v>-1.8814907682973185</v>
      </c>
      <c r="D335" s="22">
        <v>92.194319591646106</v>
      </c>
      <c r="E335" s="22">
        <v>-21028485.715419609</v>
      </c>
      <c r="F335" s="22">
        <f>(E335/dane!$B$8)*dane!$L$31</f>
        <v>-128514.08841509298</v>
      </c>
      <c r="G335" s="22">
        <f xml:space="preserve"> B335*dane!$B$10</f>
        <v>-21.834116462886801</v>
      </c>
    </row>
    <row r="336" spans="1:7">
      <c r="A336" s="22">
        <v>0.10049999999999283</v>
      </c>
      <c r="B336" s="22">
        <v>-2.5656659931105847E-2</v>
      </c>
      <c r="C336" s="22">
        <v>-1.8537890987710559</v>
      </c>
      <c r="D336" s="22">
        <v>92.462212241848491</v>
      </c>
      <c r="E336" s="22">
        <v>-21089589.011078153</v>
      </c>
      <c r="F336" s="22">
        <f>(E336/dane!$B$8)*dane!$L$31</f>
        <v>-128887.51684198907</v>
      </c>
      <c r="G336" s="22">
        <f xml:space="preserve"> B336*dane!$B$10</f>
        <v>-22.321294140062086</v>
      </c>
    </row>
    <row r="337" spans="1:7">
      <c r="A337" s="22">
        <v>0.10079999999999276</v>
      </c>
      <c r="B337" s="22">
        <v>-2.6208310863408003E-2</v>
      </c>
      <c r="C337" s="22">
        <v>-1.8260077035253164</v>
      </c>
      <c r="D337" s="22">
        <v>92.726128379080592</v>
      </c>
      <c r="E337" s="22">
        <v>-21149785.308924217</v>
      </c>
      <c r="F337" s="22">
        <f>(E337/dane!$B$8)*dane!$L$31</f>
        <v>-129255.40221653972</v>
      </c>
      <c r="G337" s="22">
        <f xml:space="preserve"> B337*dane!$B$10</f>
        <v>-22.801230451164962</v>
      </c>
    </row>
    <row r="338" spans="1:7">
      <c r="A338" s="22">
        <v>0.10109999999999268</v>
      </c>
      <c r="B338" s="22">
        <v>-2.675161466163593E-2</v>
      </c>
      <c r="C338" s="22">
        <v>-1.7981477773517436</v>
      </c>
      <c r="D338" s="22">
        <v>92.986056653127918</v>
      </c>
      <c r="E338" s="22">
        <v>-21209072.020101737</v>
      </c>
      <c r="F338" s="22">
        <f>(E338/dane!$B$8)*dane!$L$31</f>
        <v>-129617.72871713605</v>
      </c>
      <c r="G338" s="22">
        <f xml:space="preserve"> B338*dane!$B$10</f>
        <v>-23.27390475562326</v>
      </c>
    </row>
    <row r="339" spans="1:7">
      <c r="A339" s="22">
        <v>0.10139999999999261</v>
      </c>
      <c r="B339" s="22">
        <v>-2.7286547959978348E-2</v>
      </c>
      <c r="C339" s="22">
        <v>-1.7702105184193524</v>
      </c>
      <c r="D339" s="22">
        <v>93.241985885281593</v>
      </c>
      <c r="E339" s="22">
        <v>-21267446.594873149</v>
      </c>
      <c r="F339" s="22">
        <f>(E339/dane!$B$8)*dane!$L$31</f>
        <v>-129974.48076123904</v>
      </c>
      <c r="G339" s="22">
        <f xml:space="preserve"> B339*dane!$B$10</f>
        <v>-23.739296725181163</v>
      </c>
    </row>
    <row r="340" spans="1:7">
      <c r="A340" s="22">
        <v>0.10169999999999253</v>
      </c>
      <c r="B340" s="22">
        <v>-2.7813087752613239E-2</v>
      </c>
      <c r="C340" s="22">
        <v>-1.7421971282230002</v>
      </c>
      <c r="D340" s="22">
        <v>93.493905068819132</v>
      </c>
      <c r="E340" s="22">
        <v>-21324906.522729043</v>
      </c>
      <c r="F340" s="22">
        <f>(E340/dane!$B$8)*dane!$L$31</f>
        <v>-130325.6430060498</v>
      </c>
      <c r="G340" s="22">
        <f xml:space="preserve"> B340*dane!$B$10</f>
        <v>-24.19738634477352</v>
      </c>
    </row>
    <row r="341" spans="1:7">
      <c r="A341" s="22">
        <v>0.10199999999999246</v>
      </c>
      <c r="B341" s="22">
        <v>-2.8331211394697221E-2</v>
      </c>
      <c r="C341" s="22">
        <v>-1.7141088115317138</v>
      </c>
      <c r="D341" s="22">
        <v>93.741803369477779</v>
      </c>
      <c r="E341" s="22">
        <v>-21381449.332496136</v>
      </c>
      <c r="F341" s="22">
        <f>(E341/dane!$B$8)*dane!$L$31</f>
        <v>-130671.20034916926</v>
      </c>
      <c r="G341" s="22">
        <f xml:space="preserve"> B341*dane!$B$10</f>
        <v>-24.648153913386583</v>
      </c>
    </row>
    <row r="342" spans="1:7">
      <c r="A342" s="22">
        <v>0.10229999999999238</v>
      </c>
      <c r="B342" s="22">
        <v>-2.8840896603339456E-2</v>
      </c>
      <c r="C342" s="22">
        <v>-1.6859467763368761</v>
      </c>
      <c r="D342" s="22">
        <v>93.985670125920507</v>
      </c>
      <c r="E342" s="22">
        <v>-21437072.592443556</v>
      </c>
      <c r="F342" s="22">
        <f>(E342/dane!$B$8)*dane!$L$31</f>
        <v>-131011.1379292479</v>
      </c>
      <c r="G342" s="22">
        <f xml:space="preserve"> B342*dane!$B$10</f>
        <v>-25.091580044905328</v>
      </c>
    </row>
    <row r="343" spans="1:7">
      <c r="A343" s="22">
        <v>0.10259999999999231</v>
      </c>
      <c r="B343" s="22">
        <v>-2.9342121458559932E-2</v>
      </c>
      <c r="C343" s="22">
        <v>-1.6577122338002745</v>
      </c>
      <c r="D343" s="22">
        <v>94.22549485019448</v>
      </c>
      <c r="E343" s="22">
        <v>-21491773.910387408</v>
      </c>
      <c r="F343" s="22">
        <f>(E343/dane!$B$8)*dane!$L$31</f>
        <v>-131345.44112662476</v>
      </c>
      <c r="G343" s="22">
        <f xml:space="preserve"> B343*dane!$B$10</f>
        <v>-25.527645668947141</v>
      </c>
    </row>
    <row r="344" spans="1:7">
      <c r="A344" s="22">
        <v>0.10289999999999223</v>
      </c>
      <c r="B344" s="22">
        <v>-2.9834864404232206E-2</v>
      </c>
      <c r="C344" s="22">
        <v>-1.6294063982020119</v>
      </c>
      <c r="D344" s="22">
        <v>94.461267228182152</v>
      </c>
      <c r="E344" s="22">
        <v>-21545550.933793668</v>
      </c>
      <c r="F344" s="22">
        <f>(E344/dane!$B$8)*dane!$L$31</f>
        <v>-131674.09556395616</v>
      </c>
      <c r="G344" s="22">
        <f xml:space="preserve"> B344*dane!$B$10</f>
        <v>-25.95633203168202</v>
      </c>
    </row>
    <row r="345" spans="1:7">
      <c r="A345" s="22">
        <v>0.10319999999999216</v>
      </c>
      <c r="B345" s="22">
        <v>-3.0319104249010475E-2</v>
      </c>
      <c r="C345" s="22">
        <v>-1.6010304868882848</v>
      </c>
      <c r="D345" s="22">
        <v>94.692977120044802</v>
      </c>
      <c r="E345" s="22">
        <v>-21598401.349879354</v>
      </c>
      <c r="F345" s="22">
        <f>(E345/dane!$B$8)*dane!$L$31</f>
        <v>-131997.08710683411</v>
      </c>
      <c r="G345" s="22">
        <f xml:space="preserve"> B345*dane!$B$10</f>
        <v>-26.377620696639113</v>
      </c>
    </row>
    <row r="346" spans="1:7">
      <c r="A346" s="22">
        <v>0.10349999999999208</v>
      </c>
      <c r="B346" s="22">
        <v>-3.0794820167240923E-2</v>
      </c>
      <c r="C346" s="22">
        <v>-1.5725857202190283</v>
      </c>
      <c r="D346" s="22">
        <v>94.920614560658663</v>
      </c>
      <c r="E346" s="22">
        <v>-21650322.88571199</v>
      </c>
      <c r="F346" s="22">
        <f>(E346/dane!$B$8)*dane!$L$31</f>
        <v>-132314.40186439414</v>
      </c>
      <c r="G346" s="22">
        <f xml:space="preserve"> B346*dane!$B$10</f>
        <v>-26.791493545499602</v>
      </c>
    </row>
    <row r="347" spans="1:7">
      <c r="A347" s="22">
        <v>0.10379999999999201</v>
      </c>
      <c r="B347" s="22">
        <v>-3.1261991699857362E-2</v>
      </c>
      <c r="C347" s="22">
        <v>-1.5440733215154334</v>
      </c>
      <c r="D347" s="22">
        <v>95.14416976004344</v>
      </c>
      <c r="E347" s="22">
        <v>-21701313.308307361</v>
      </c>
      <c r="F347" s="22">
        <f>(E347/dane!$B$8)*dane!$L$31</f>
        <v>-132626.02618991269</v>
      </c>
      <c r="G347" s="22">
        <f xml:space="preserve"> B347*dane!$B$10</f>
        <v>-27.197932778875906</v>
      </c>
    </row>
    <row r="348" spans="1:7">
      <c r="A348" s="22">
        <v>0.10409999999999194</v>
      </c>
      <c r="B348" s="22">
        <v>-3.1720598755261148E-2</v>
      </c>
      <c r="C348" s="22">
        <v>-1.5154945170073364</v>
      </c>
      <c r="D348" s="22">
        <v>95.363633103783357</v>
      </c>
      <c r="E348" s="22">
        <v>-21751370.424725533</v>
      </c>
      <c r="F348" s="22">
        <f>(E348/dane!$B$8)*dane!$L$31</f>
        <v>-132931.94668139404</v>
      </c>
      <c r="G348" s="22">
        <f xml:space="preserve"> B348*dane!$B$10</f>
        <v>-27.596920917077199</v>
      </c>
    </row>
    <row r="349" spans="1:7">
      <c r="A349" s="22">
        <v>0.10439999999999186</v>
      </c>
      <c r="B349" s="22">
        <v>-3.2170621610185246E-2</v>
      </c>
      <c r="C349" s="22">
        <v>-1.4868505357804787</v>
      </c>
      <c r="D349" s="22">
        <v>95.578995153440744</v>
      </c>
      <c r="E349" s="22">
        <v>-21800492.082165197</v>
      </c>
      <c r="F349" s="22">
        <f>(E349/dane!$B$8)*dane!$L$31</f>
        <v>-133232.15018214675</v>
      </c>
      <c r="G349" s="22">
        <f xml:space="preserve"> B349*dane!$B$10</f>
        <v>-27.988440800861163</v>
      </c>
    </row>
    <row r="350" spans="1:7">
      <c r="A350" s="22">
        <v>0.10469999999999179</v>
      </c>
      <c r="B350" s="22">
        <v>-3.2612040910542414E-2</v>
      </c>
      <c r="C350" s="22">
        <v>-1.4581426097236514</v>
      </c>
      <c r="D350" s="22">
        <v>95.79024664696172</v>
      </c>
      <c r="E350" s="22">
        <v>-21848676.168056205</v>
      </c>
      <c r="F350" s="22">
        <f>(E350/dane!$B$8)*dane!$L$31</f>
        <v>-133526.62378134919</v>
      </c>
      <c r="G350" s="22">
        <f xml:space="preserve"> B350*dane!$B$10</f>
        <v>-28.372475592171899</v>
      </c>
    </row>
    <row r="351" spans="1:7">
      <c r="A351" s="22">
        <v>0.10499999999999171</v>
      </c>
      <c r="B351" s="22">
        <v>-3.304483767225766E-2</v>
      </c>
      <c r="C351" s="22">
        <v>-1.4293719734757153</v>
      </c>
      <c r="D351" s="22">
        <v>95.997378499074841</v>
      </c>
      <c r="E351" s="22">
        <v>-21895920.610150486</v>
      </c>
      <c r="F351" s="22">
        <f>(E351/dane!$B$8)*dane!$L$31</f>
        <v>-133815.35481460541</v>
      </c>
      <c r="G351" s="22">
        <f xml:space="preserve"> B351*dane!$B$10</f>
        <v>-28.749008774864166</v>
      </c>
    </row>
    <row r="352" spans="1:7">
      <c r="A352" s="22">
        <v>0.10529999999999164</v>
      </c>
      <c r="B352" s="22">
        <v>-3.3468993282084601E-2</v>
      </c>
      <c r="C352" s="22">
        <v>-1.4005398643725011</v>
      </c>
      <c r="D352" s="22">
        <v>96.20038180168153</v>
      </c>
      <c r="E352" s="22">
        <v>-21942223.376611106</v>
      </c>
      <c r="F352" s="22">
        <f>(E352/dane!$B$8)*dane!$L$31</f>
        <v>-134098.33086448902</v>
      </c>
      <c r="G352" s="22">
        <f xml:space="preserve"> B352*dane!$B$10</f>
        <v>-29.118024155413604</v>
      </c>
    </row>
    <row r="353" spans="1:7">
      <c r="A353" s="22">
        <v>0.10559999999999156</v>
      </c>
      <c r="B353" s="22">
        <v>-3.3884489498406001E-2</v>
      </c>
      <c r="C353" s="22">
        <v>-1.3716475223935958</v>
      </c>
      <c r="D353" s="22">
        <v>96.399247824239382</v>
      </c>
      <c r="E353" s="22">
        <v>-21987582.476099692</v>
      </c>
      <c r="F353" s="22">
        <f>(E353/dane!$B$8)*dane!$L$31</f>
        <v>-134375.53976107785</v>
      </c>
      <c r="G353" s="22">
        <f xml:space="preserve"> B353*dane!$B$10</f>
        <v>-29.47950586361322</v>
      </c>
    </row>
    <row r="354" spans="1:7">
      <c r="A354" s="22">
        <v>0.10589999999999149</v>
      </c>
      <c r="B354" s="22">
        <v>-3.4291308452018311E-2</v>
      </c>
      <c r="C354" s="22">
        <v>-1.3426961901090164</v>
      </c>
      <c r="D354" s="22">
        <v>96.593968014137573</v>
      </c>
      <c r="E354" s="22">
        <v>-22031995.957862064</v>
      </c>
      <c r="F354" s="22">
        <f>(E354/dane!$B$8)*dane!$L$31</f>
        <v>-134646.96958247703</v>
      </c>
      <c r="G354" s="22">
        <f xml:space="preserve"> B354*dane!$B$10</f>
        <v>-29.833438353255932</v>
      </c>
    </row>
    <row r="355" spans="1:7">
      <c r="A355" s="22">
        <v>0.10619999999999141</v>
      </c>
      <c r="B355" s="22">
        <v>-3.4689432646900088E-2</v>
      </c>
      <c r="C355" s="22">
        <v>-1.3136871126257705</v>
      </c>
      <c r="D355" s="22">
        <v>96.784533997064671</v>
      </c>
      <c r="E355" s="22">
        <v>-22075461.911812123</v>
      </c>
      <c r="F355" s="22">
        <f>(E355/dane!$B$8)*dane!$L$31</f>
        <v>-134912.6086553318</v>
      </c>
      <c r="G355" s="22">
        <f xml:space="preserve"> B355*dane!$B$10</f>
        <v>-30.179806402803077</v>
      </c>
    </row>
    <row r="356" spans="1:7">
      <c r="A356" s="22">
        <v>0.10649999999999134</v>
      </c>
      <c r="B356" s="22">
        <v>-3.5078844960964542E-2</v>
      </c>
      <c r="C356" s="22">
        <v>-1.2846215375343062</v>
      </c>
      <c r="D356" s="22">
        <v>96.970937577368801</v>
      </c>
      <c r="E356" s="22">
        <v>-22117978.468613997</v>
      </c>
      <c r="F356" s="22">
        <f>(E356/dane!$B$8)*dane!$L$31</f>
        <v>-135172.44555532953</v>
      </c>
      <c r="G356" s="22">
        <f xml:space="preserve"> B356*dane!$B$10</f>
        <v>-30.518595116039151</v>
      </c>
    </row>
    <row r="357" spans="1:7">
      <c r="A357" s="22">
        <v>0.10679999999999126</v>
      </c>
      <c r="B357" s="22">
        <v>-3.5459528646795829E-2</v>
      </c>
      <c r="C357" s="22">
        <v>-1.2555007148548591</v>
      </c>
      <c r="D357" s="22">
        <v>97.153170738410125</v>
      </c>
      <c r="E357" s="22">
        <v>-22159543.799762454</v>
      </c>
      <c r="F357" s="22">
        <f>(E357/dane!$B$8)*dane!$L$31</f>
        <v>-135426.46910769111</v>
      </c>
      <c r="G357" s="22">
        <f xml:space="preserve"> B357*dane!$B$10</f>
        <v>-30.849789922712372</v>
      </c>
    </row>
    <row r="358" spans="1:7">
      <c r="A358" s="22">
        <v>0.10709999999999119</v>
      </c>
      <c r="B358" s="22">
        <v>-3.5831467332369346E-2</v>
      </c>
      <c r="C358" s="22">
        <v>-1.2263258969836923</v>
      </c>
      <c r="D358" s="22">
        <v>97.331225642905594</v>
      </c>
      <c r="E358" s="22">
        <v>-22200156.117661513</v>
      </c>
      <c r="F358" s="22">
        <f>(E358/dane!$B$8)*dane!$L$31</f>
        <v>-135674.66838765136</v>
      </c>
      <c r="G358" s="22">
        <f xml:space="preserve"> B358*dane!$B$10</f>
        <v>-31.173376579161332</v>
      </c>
    </row>
    <row r="359" spans="1:7">
      <c r="A359" s="22">
        <v>0.10739999999999111</v>
      </c>
      <c r="B359" s="22">
        <v>-3.6194645021755803E-2</v>
      </c>
      <c r="C359" s="22">
        <v>-1.1970983386392355</v>
      </c>
      <c r="D359" s="22">
        <v>97.505094633266012</v>
      </c>
      <c r="E359" s="22">
        <v>-22239813.675701343</v>
      </c>
      <c r="F359" s="22">
        <f>(E359/dane!$B$8)*dane!$L$31</f>
        <v>-135917.03272092907</v>
      </c>
      <c r="G359" s="22">
        <f xml:space="preserve"> B359*dane!$B$10</f>
        <v>-31.489341168927549</v>
      </c>
    </row>
    <row r="360" spans="1:7">
      <c r="A360" s="22">
        <v>0.10769999999999104</v>
      </c>
      <c r="B360" s="22">
        <v>-3.6549046095809223E-2</v>
      </c>
      <c r="C360" s="22">
        <v>-1.1678192968081211</v>
      </c>
      <c r="D360" s="22">
        <v>97.674770231925379</v>
      </c>
      <c r="E360" s="22">
        <v>-22278514.768333379</v>
      </c>
      <c r="F360" s="22">
        <f>(E360/dane!$B$8)*dane!$L$31</f>
        <v>-136153.55168418601</v>
      </c>
      <c r="G360" s="22">
        <f xml:space="preserve"> B360*dane!$B$10</f>
        <v>-31.797670103354026</v>
      </c>
    </row>
    <row r="361" spans="1:7">
      <c r="A361" s="22">
        <v>0.10799999999999096</v>
      </c>
      <c r="B361" s="22">
        <v>-3.6894655312838601E-2</v>
      </c>
      <c r="C361" s="22">
        <v>-1.1384900306911272</v>
      </c>
      <c r="D361" s="22">
        <v>97.84024514166245</v>
      </c>
      <c r="E361" s="22">
        <v>-22316257.731143657</v>
      </c>
      <c r="F361" s="22">
        <f>(E361/dane!$B$8)*dane!$L$31</f>
        <v>-136384.2151054751</v>
      </c>
      <c r="G361" s="22">
        <f xml:space="preserve"> B361*dane!$B$10</f>
        <v>-32.098350122169585</v>
      </c>
    </row>
    <row r="362" spans="1:7">
      <c r="A362" s="22">
        <v>0.10829999999999089</v>
      </c>
      <c r="B362" s="22">
        <v>-3.723145780926345E-2</v>
      </c>
      <c r="C362" s="22">
        <v>-1.1091118016490227</v>
      </c>
      <c r="D362" s="22">
        <v>98.001512245914597</v>
      </c>
      <c r="E362" s="22">
        <v>-22353040.94092441</v>
      </c>
      <c r="F362" s="22">
        <f>(E362/dane!$B$8)*dane!$L$31</f>
        <v>-136609.01306467806</v>
      </c>
      <c r="G362" s="22">
        <f xml:space="preserve"> B362*dane!$B$10</f>
        <v>-32.391368294059205</v>
      </c>
    </row>
    <row r="363" spans="1:7">
      <c r="A363" s="22">
        <v>0.10859999999999081</v>
      </c>
      <c r="B363" s="22">
        <v>-3.7559439100253E-2</v>
      </c>
      <c r="C363" s="22">
        <v>-1.0796858731483199</v>
      </c>
      <c r="D363" s="22">
        <v>98.158564609083825</v>
      </c>
      <c r="E363" s="22">
        <v>-22388862.815743867</v>
      </c>
      <c r="F363" s="22">
        <f>(E363/dane!$B$8)*dane!$L$31</f>
        <v>-136827.9358939318</v>
      </c>
      <c r="G363" s="22">
        <f xml:space="preserve"> B363*dane!$B$10</f>
        <v>-32.676712017220112</v>
      </c>
    </row>
    <row r="364" spans="1:7">
      <c r="A364" s="22">
        <v>0.10889999999999074</v>
      </c>
      <c r="B364" s="22">
        <v>-3.7878585080349185E-2</v>
      </c>
      <c r="C364" s="22">
        <v>-1.0502135107069368</v>
      </c>
      <c r="D364" s="22">
        <v>98.311395476835131</v>
      </c>
      <c r="E364" s="22">
        <v>-22423721.815014303</v>
      </c>
      <c r="F364" s="22">
        <f>(E364/dane!$B$8)*dane!$L$31</f>
        <v>-137040.97417804456</v>
      </c>
      <c r="G364" s="22">
        <f xml:space="preserve"> B364*dane!$B$10</f>
        <v>-32.954369019903794</v>
      </c>
    </row>
    <row r="365" spans="1:7">
      <c r="A365" s="22">
        <v>0.10919999999999067</v>
      </c>
      <c r="B365" s="22">
        <v>-3.8188882024073278E-2</v>
      </c>
      <c r="C365" s="22">
        <v>-1.0206959818397716</v>
      </c>
      <c r="D365" s="22">
        <v>98.459998276386898</v>
      </c>
      <c r="E365" s="22">
        <v>-22457616.439558275</v>
      </c>
      <c r="F365" s="22">
        <f>(E365/dane!$B$8)*dane!$L$31</f>
        <v>-137248.11875490041</v>
      </c>
      <c r="G365" s="22">
        <f xml:space="preserve"> B365*dane!$B$10</f>
        <v>-33.224327360943754</v>
      </c>
    </row>
    <row r="366" spans="1:7">
      <c r="A366" s="22">
        <v>0.10949999999999059</v>
      </c>
      <c r="B366" s="22">
        <v>-3.8490316586516124E-2</v>
      </c>
      <c r="C366" s="22">
        <v>-0.99113455600419031</v>
      </c>
      <c r="D366" s="22">
        <v>98.604366616793627</v>
      </c>
      <c r="E366" s="22">
        <v>-22490545.231673107</v>
      </c>
      <c r="F366" s="22">
        <f>(E366/dane!$B$8)*dane!$L$31</f>
        <v>-137449.36071585363</v>
      </c>
      <c r="G366" s="22">
        <f xml:space="preserve"> B366*dane!$B$10</f>
        <v>-33.486575430269028</v>
      </c>
    </row>
    <row r="367" spans="1:7">
      <c r="A367" s="22">
        <v>0.10979999999999052</v>
      </c>
      <c r="B367" s="22">
        <v>-3.8782875803912126E-2</v>
      </c>
      <c r="C367" s="22">
        <v>-0.96153050454543088</v>
      </c>
      <c r="D367" s="22">
        <v>98.744494289220754</v>
      </c>
      <c r="E367" s="22">
        <v>-22522506.775193579</v>
      </c>
      <c r="F367" s="22">
        <f>(E367/dane!$B$8)*dane!$L$31</f>
        <v>-137644.69140611161</v>
      </c>
      <c r="G367" s="22">
        <f xml:space="preserve"> B367*dane!$B$10</f>
        <v>-33.74110194940355</v>
      </c>
    </row>
    <row r="368" spans="1:7">
      <c r="A368" s="22">
        <v>0.11009999999999044</v>
      </c>
      <c r="B368" s="22">
        <v>-3.906654709419672E-2</v>
      </c>
      <c r="C368" s="22">
        <v>-0.93188510064192731</v>
      </c>
      <c r="D368" s="22">
        <v>98.880375267211718</v>
      </c>
      <c r="E368" s="22">
        <v>-22553499.695552841</v>
      </c>
      <c r="F368" s="22">
        <f>(E368/dane!$B$8)*dane!$L$31</f>
        <v>-137834.10242510724</v>
      </c>
      <c r="G368" s="22">
        <f xml:space="preserve"> B368*dane!$B$10</f>
        <v>-33.987895971951147</v>
      </c>
    </row>
    <row r="369" spans="1:7">
      <c r="A369" s="22">
        <v>0.11039999999999037</v>
      </c>
      <c r="B369" s="22">
        <v>-3.9341318257547546E-2</v>
      </c>
      <c r="C369" s="22">
        <v>-0.90219961925055425</v>
      </c>
      <c r="D369" s="22">
        <v>99.01200370694707</v>
      </c>
      <c r="E369" s="22">
        <v>-22583522.659841508</v>
      </c>
      <c r="F369" s="22">
        <f>(E369/dane!$B$8)*dane!$L$31</f>
        <v>-138017.58562685997</v>
      </c>
      <c r="G369" s="22">
        <f xml:space="preserve"> B369*dane!$B$10</f>
        <v>-34.226946884066365</v>
      </c>
    </row>
    <row r="370" spans="1:7">
      <c r="A370" s="22">
        <v>0.11069999999999029</v>
      </c>
      <c r="B370" s="22">
        <v>-3.9607177476909089E-2</v>
      </c>
      <c r="C370" s="22">
        <v>-0.87247533705179481</v>
      </c>
      <c r="D370" s="22">
        <v>99.139373947495912</v>
      </c>
      <c r="E370" s="22">
        <v>-22612574.376865011</v>
      </c>
      <c r="F370" s="22">
        <f>(E370/dane!$B$8)*dane!$L$31</f>
        <v>-138195.13312032644</v>
      </c>
      <c r="G370" s="22">
        <f xml:space="preserve"> B370*dane!$B$10</f>
        <v>-34.458244404910907</v>
      </c>
    </row>
    <row r="371" spans="1:7">
      <c r="A371" s="22">
        <v>0.11099999999999022</v>
      </c>
      <c r="B371" s="22">
        <v>-3.9864113318500899E-2</v>
      </c>
      <c r="C371" s="22">
        <v>-0.84271353239483437</v>
      </c>
      <c r="D371" s="22">
        <v>99.262480511059238</v>
      </c>
      <c r="E371" s="22">
        <v>-22640653.597199105</v>
      </c>
      <c r="F371" s="22">
        <f>(E371/dane!$B$8)*dane!$L$31</f>
        <v>-138366.73726973968</v>
      </c>
      <c r="G371" s="22">
        <f xml:space="preserve"> B371*dane!$B$10</f>
        <v>-34.681778587095785</v>
      </c>
    </row>
    <row r="372" spans="1:7">
      <c r="A372" s="22">
        <v>0.11129999999999014</v>
      </c>
      <c r="B372" s="22">
        <v>-4.0112114732309335E-2</v>
      </c>
      <c r="C372" s="22">
        <v>-0.81291548524258261</v>
      </c>
      <c r="D372" s="22">
        <v>99.381318103205544</v>
      </c>
      <c r="E372" s="22">
        <v>-22667759.11324361</v>
      </c>
      <c r="F372" s="22">
        <f>(E372/dane!$B$8)*dane!$L$31</f>
        <v>-138532.39069493738</v>
      </c>
      <c r="G372" s="22">
        <f xml:space="preserve"> B372*dane!$B$10</f>
        <v>-34.89753981710912</v>
      </c>
    </row>
    <row r="373" spans="1:7">
      <c r="A373" s="22">
        <v>0.11159999999999007</v>
      </c>
      <c r="B373" s="22">
        <v>-4.0351171052562793E-2</v>
      </c>
      <c r="C373" s="22">
        <v>-0.78308247711662693</v>
      </c>
      <c r="D373" s="22">
        <v>99.495881613098589</v>
      </c>
      <c r="E373" s="22">
        <v>-22693889.759274349</v>
      </c>
      <c r="F373" s="22">
        <f>(E373/dane!$B$8)*dane!$L$31</f>
        <v>-138692.08627167952</v>
      </c>
      <c r="G373" s="22">
        <f xml:space="preserve"> B373*dane!$B$10</f>
        <v>-35.105518815729631</v>
      </c>
    </row>
    <row r="374" spans="1:7">
      <c r="A374" s="22">
        <v>0.11189999999998999</v>
      </c>
      <c r="B374" s="22">
        <v>-4.05812719981904E-2</v>
      </c>
      <c r="C374" s="22">
        <v>-0.75321579104211767</v>
      </c>
      <c r="D374" s="22">
        <v>99.606166113717151</v>
      </c>
      <c r="E374" s="22">
        <v>-22719044.41149329</v>
      </c>
      <c r="F374" s="22">
        <f>(E374/dane!$B$8)*dane!$L$31</f>
        <v>-138845.81713195471</v>
      </c>
      <c r="G374" s="22">
        <f xml:space="preserve"> B374*dane!$B$10</f>
        <v>-35.305706638425647</v>
      </c>
    </row>
    <row r="375" spans="1:7">
      <c r="A375" s="22">
        <v>0.11219999999998992</v>
      </c>
      <c r="B375" s="22">
        <v>-4.0802407673264131E-2</v>
      </c>
      <c r="C375" s="22">
        <v>-0.72331671149258903</v>
      </c>
      <c r="D375" s="22">
        <v>99.712166862066923</v>
      </c>
      <c r="E375" s="22">
        <v>-22743221.988076858</v>
      </c>
      <c r="F375" s="22">
        <f>(E375/dane!$B$8)*dane!$L$31</f>
        <v>-138993.57666427543</v>
      </c>
      <c r="G375" s="22">
        <f xml:space="preserve"> B375*dane!$B$10</f>
        <v>-35.498094675739793</v>
      </c>
    </row>
    <row r="376" spans="1:7">
      <c r="A376" s="22">
        <v>0.11249999999998984</v>
      </c>
      <c r="B376" s="22">
        <v>-4.1014568567424477E-2</v>
      </c>
      <c r="C376" s="22">
        <v>-0.69338652433471837</v>
      </c>
      <c r="D376" s="22">
        <v>99.813879299384453</v>
      </c>
      <c r="E376" s="22">
        <v>-22766421.449222464</v>
      </c>
      <c r="F376" s="22">
        <f>(E376/dane!$B$8)*dane!$L$31</f>
        <v>-139135.35851396242</v>
      </c>
      <c r="G376" s="22">
        <f xml:space="preserve"> B376*dane!$B$10</f>
        <v>-35.682674653659298</v>
      </c>
    </row>
    <row r="377" spans="1:7">
      <c r="A377" s="22">
        <v>0.11279999999998977</v>
      </c>
      <c r="B377" s="22">
        <v>-4.1217745556289417E-2</v>
      </c>
      <c r="C377" s="22">
        <v>-0.66342651677302467</v>
      </c>
      <c r="D377" s="22">
        <v>99.911299051333316</v>
      </c>
      <c r="E377" s="22">
        <v>-22788641.797193252</v>
      </c>
      <c r="F377" s="22">
        <f>(E377/dane!$B$8)*dane!$L$31</f>
        <v>-139271.15658341817</v>
      </c>
      <c r="G377" s="22">
        <f xml:space="preserve"> B377*dane!$B$10</f>
        <v>-35.859438633971791</v>
      </c>
    </row>
    <row r="378" spans="1:7">
      <c r="A378" s="22">
        <v>0.11309999999998969</v>
      </c>
      <c r="B378" s="22">
        <v>-4.1411929901846847E-2</v>
      </c>
      <c r="C378" s="22">
        <v>-0.63343797729450979</v>
      </c>
      <c r="D378" s="22">
        <v>100.0044219281921</v>
      </c>
      <c r="E378" s="22">
        <v>-22809882.076360963</v>
      </c>
      <c r="F378" s="22">
        <f>(E378/dane!$B$8)*dane!$L$31</f>
        <v>-139400.96503238886</v>
      </c>
      <c r="G378" s="22">
        <f xml:space="preserve"> B378*dane!$B$10</f>
        <v>-36.028379014606756</v>
      </c>
    </row>
    <row r="379" spans="1:7">
      <c r="A379" s="22">
        <v>0.11339999999998962</v>
      </c>
      <c r="B379" s="22">
        <v>-4.1597113252830317E-2</v>
      </c>
      <c r="C379" s="22">
        <v>-0.60342219561324528</v>
      </c>
      <c r="D379" s="22">
        <v>100.09324392503473</v>
      </c>
      <c r="E379" s="22">
        <v>-22830141.373247076</v>
      </c>
      <c r="F379" s="22">
        <f>(E379/dane!$B$8)*dane!$L$31</f>
        <v>-139524.7782782157</v>
      </c>
      <c r="G379" s="22">
        <f xml:space="preserve"> B379*dane!$B$10</f>
        <v>-36.189488529962375</v>
      </c>
    </row>
    <row r="380" spans="1:7">
      <c r="A380" s="22">
        <v>0.11369999999998955</v>
      </c>
      <c r="B380" s="22">
        <v>-4.1773287645078261E-2</v>
      </c>
      <c r="C380" s="22">
        <v>-0.57338046261490516</v>
      </c>
      <c r="D380" s="22">
        <v>100.1777612219026</v>
      </c>
      <c r="E380" s="22">
        <v>-22849418.816562064</v>
      </c>
      <c r="F380" s="22">
        <f>(E380/dane!$B$8)*dane!$L$31</f>
        <v>-139642.59099607501</v>
      </c>
      <c r="G380" s="22">
        <f xml:space="preserve"> B380*dane!$B$10</f>
        <v>-36.342760251218088</v>
      </c>
    </row>
    <row r="381" spans="1:7">
      <c r="A381" s="22">
        <v>0.11399999999998947</v>
      </c>
      <c r="B381" s="22">
        <v>-4.1940445501876499E-2</v>
      </c>
      <c r="C381" s="22">
        <v>-0.5433140703012489</v>
      </c>
      <c r="D381" s="22">
        <v>100.25797018396888</v>
      </c>
      <c r="E381" s="22">
        <v>-22867713.577242877</v>
      </c>
      <c r="F381" s="22">
        <f>(E381/dane!$B$8)*dane!$L$31</f>
        <v>-139754.39811920718</v>
      </c>
      <c r="G381" s="22">
        <f xml:space="preserve"> B381*dane!$B$10</f>
        <v>-36.488187586632556</v>
      </c>
    </row>
    <row r="382" spans="1:7">
      <c r="A382" s="22">
        <v>0.1142999999999894</v>
      </c>
      <c r="B382" s="22">
        <v>-4.2098579634284046E-2</v>
      </c>
      <c r="C382" s="22">
        <v>-0.51322431173455718</v>
      </c>
      <c r="D382" s="22">
        <v>100.33386736169493</v>
      </c>
      <c r="E382" s="22">
        <v>-22885024.868488606</v>
      </c>
      <c r="F382" s="22">
        <f>(E382/dane!$B$8)*dane!$L$31</f>
        <v>-139860.19483913464</v>
      </c>
      <c r="G382" s="22">
        <f xml:space="preserve"> B382*dane!$B$10</f>
        <v>-36.625764281827117</v>
      </c>
    </row>
    <row r="383" spans="1:7">
      <c r="A383" s="22">
        <v>0.11459999999998932</v>
      </c>
      <c r="B383" s="22">
        <v>-4.2247683241442353E-2</v>
      </c>
      <c r="C383" s="22">
        <v>-0.48311248098202009</v>
      </c>
      <c r="D383" s="22">
        <v>100.40544949097851</v>
      </c>
      <c r="E383" s="22">
        <v>-22901351.945794307</v>
      </c>
      <c r="F383" s="22">
        <f>(E383/dane!$B$8)*dane!$L$31</f>
        <v>-139959.97660586864</v>
      </c>
      <c r="G383" s="22">
        <f xml:space="preserve"> B383*dane!$B$10</f>
        <v>-36.755484420054849</v>
      </c>
    </row>
    <row r="384" spans="1:7">
      <c r="A384" s="22">
        <v>0.11489999999998925</v>
      </c>
      <c r="B384" s="22">
        <v>-4.2387749910867731E-2</v>
      </c>
      <c r="C384" s="22">
        <v>-0.45297987306008441</v>
      </c>
      <c r="D384" s="22">
        <v>100.47271349329428</v>
      </c>
      <c r="E384" s="22">
        <v>-22916694.106983021</v>
      </c>
      <c r="F384" s="22">
        <f>(E384/dane!$B$8)*dane!$L$31</f>
        <v>-140053.73912810482</v>
      </c>
      <c r="G384" s="22">
        <f xml:space="preserve"> B384*dane!$B$10</f>
        <v>-36.877342422454923</v>
      </c>
    </row>
    <row r="385" spans="1:7">
      <c r="A385" s="22">
        <v>0.11519999999998917</v>
      </c>
      <c r="B385" s="22">
        <v>-4.2518773618727128E-2</v>
      </c>
      <c r="C385" s="22">
        <v>-0.42282778387875841</v>
      </c>
      <c r="D385" s="22">
        <v>100.5356564758261</v>
      </c>
      <c r="E385" s="22">
        <v>-22931050.692235984</v>
      </c>
      <c r="F385" s="22">
        <f>(E385/dane!$B$8)*dane!$L$31</f>
        <v>-140141.47837340791</v>
      </c>
      <c r="G385" s="22">
        <f xml:space="preserve"> B385*dane!$B$10</f>
        <v>-36.991333048292603</v>
      </c>
    </row>
    <row r="386" spans="1:7">
      <c r="A386" s="22">
        <v>0.1154999999999891</v>
      </c>
      <c r="B386" s="22">
        <v>-4.2640748730097273E-2</v>
      </c>
      <c r="C386" s="22">
        <v>-0.39265751018587869</v>
      </c>
      <c r="D386" s="22">
        <v>100.59427573159152</v>
      </c>
      <c r="E386" s="22">
        <v>-22944421.084120989</v>
      </c>
      <c r="F386" s="22">
        <f>(E386/dane!$B$8)*dane!$L$31</f>
        <v>-140223.19056838512</v>
      </c>
      <c r="G386" s="22">
        <f xml:space="preserve"> B386*dane!$B$10</f>
        <v>-37.097451395184628</v>
      </c>
    </row>
    <row r="387" spans="1:7">
      <c r="A387" s="22">
        <v>0.11579999999998902</v>
      </c>
      <c r="B387" s="22">
        <v>-4.275366999920692E-2</v>
      </c>
      <c r="C387" s="22">
        <v>-0.36247034951134155</v>
      </c>
      <c r="D387" s="22">
        <v>100.64856873955816</v>
      </c>
      <c r="E387" s="22">
        <v>-22956804.707618948</v>
      </c>
      <c r="F387" s="22">
        <f>(E387/dane!$B$8)*dane!$L$31</f>
        <v>-140298.87219884837</v>
      </c>
      <c r="G387" s="22">
        <f xml:space="preserve"> B387*dane!$B$10</f>
        <v>-37.195692899310018</v>
      </c>
    </row>
    <row r="388" spans="1:7">
      <c r="A388" s="22">
        <v>0.11609999999998895</v>
      </c>
      <c r="B388" s="22">
        <v>-4.2857532569662536E-2</v>
      </c>
      <c r="C388" s="22">
        <v>-0.33226760011130008</v>
      </c>
      <c r="D388" s="22">
        <v>100.69853316475213</v>
      </c>
      <c r="E388" s="22">
        <v>-22968201.030148629</v>
      </c>
      <c r="F388" s="22">
        <f>(E388/dane!$B$8)*dane!$L$31</f>
        <v>-140368.52000996546</v>
      </c>
      <c r="G388" s="22">
        <f xml:space="preserve"> B388*dane!$B$10</f>
        <v>-37.286053335606404</v>
      </c>
    </row>
    <row r="389" spans="1:7">
      <c r="A389" s="22">
        <v>0.11639999999998887</v>
      </c>
      <c r="B389" s="22">
        <v>-4.2952331974657108E-2</v>
      </c>
      <c r="C389" s="22">
        <v>-0.30205056091232979</v>
      </c>
      <c r="D389" s="22">
        <v>100.74416685835853</v>
      </c>
      <c r="E389" s="22">
        <v>-22978609.561589547</v>
      </c>
      <c r="F389" s="22">
        <f>(E389/dane!$B$8)*dane!$L$31</f>
        <v>-140432.13100640013</v>
      </c>
      <c r="G389" s="22">
        <f xml:space="preserve"> B389*dane!$B$10</f>
        <v>-37.368528817951685</v>
      </c>
    </row>
    <row r="390" spans="1:7">
      <c r="A390" s="22">
        <v>0.1166999999999888</v>
      </c>
      <c r="B390" s="22">
        <v>-4.3038064137162248E-2</v>
      </c>
      <c r="C390" s="22">
        <v>-0.27182053145556651</v>
      </c>
      <c r="D390" s="22">
        <v>100.78546785781364</v>
      </c>
      <c r="E390" s="22">
        <v>-22988029.85430304</v>
      </c>
      <c r="F390" s="22">
        <f>(E390/dane!$B$8)*dane!$L$31</f>
        <v>-140489.70245244057</v>
      </c>
      <c r="G390" s="22">
        <f xml:space="preserve"> B390*dane!$B$10</f>
        <v>-37.443115799331153</v>
      </c>
    </row>
    <row r="391" spans="1:7">
      <c r="A391" s="22">
        <v>0.11699999999998872</v>
      </c>
      <c r="B391" s="22">
        <v>-4.3114725370103538E-2</v>
      </c>
      <c r="C391" s="22">
        <v>-0.24157881184081642</v>
      </c>
      <c r="D391" s="22">
        <v>100.82243438688965</v>
      </c>
      <c r="E391" s="22">
        <v>-22996461.503151543</v>
      </c>
      <c r="F391" s="22">
        <f>(E391/dane!$B$8)*dane!$L$31</f>
        <v>-140541.23187211758</v>
      </c>
      <c r="G391" s="22">
        <f xml:space="preserve"> B391*dane!$B$10</f>
        <v>-37.509811071990079</v>
      </c>
    </row>
    <row r="392" spans="1:7">
      <c r="A392" s="22">
        <v>0.11729999999998865</v>
      </c>
      <c r="B392" s="22">
        <v>-4.3182312376519143E-2</v>
      </c>
      <c r="C392" s="22">
        <v>-0.21132670267064324</v>
      </c>
      <c r="D392" s="22">
        <v>100.85506485577076</v>
      </c>
      <c r="E392" s="22">
        <v>-23003904.145515986</v>
      </c>
      <c r="F392" s="22">
        <f>(E392/dane!$B$8)*dane!$L$31</f>
        <v>-140586.71704931054</v>
      </c>
      <c r="G392" s="22">
        <f xml:space="preserve"> B392*dane!$B$10</f>
        <v>-37.568611767571653</v>
      </c>
    </row>
    <row r="393" spans="1:7">
      <c r="A393" s="22">
        <v>0.11759999999998857</v>
      </c>
      <c r="B393" s="22">
        <v>-4.3240822249701515E-2</v>
      </c>
      <c r="C393" s="22">
        <v>-0.18106550499443325</v>
      </c>
      <c r="D393" s="22">
        <v>100.88335786112172</v>
      </c>
      <c r="E393" s="22">
        <v>-23010357.461311407</v>
      </c>
      <c r="F393" s="22">
        <f>(E393/dane!$B$8)*dane!$L$31</f>
        <v>-140626.15602784313</v>
      </c>
      <c r="G393" s="22">
        <f xml:space="preserve"> B393*dane!$B$10</f>
        <v>-37.619515357240317</v>
      </c>
    </row>
    <row r="394" spans="1:7">
      <c r="A394" s="22">
        <v>0.1178999999999885</v>
      </c>
      <c r="B394" s="22">
        <v>-4.3290252473322507E-2</v>
      </c>
      <c r="C394" s="22">
        <v>-0.15079652025244122</v>
      </c>
      <c r="D394" s="22">
        <v>100.90731218614815</v>
      </c>
      <c r="E394" s="22">
        <v>-23015821.173000716</v>
      </c>
      <c r="F394" s="22">
        <f>(E394/dane!$B$8)*dane!$L$31</f>
        <v>-140659.54711156723</v>
      </c>
      <c r="G394" s="22">
        <f xml:space="preserve"> B394*dane!$B$10</f>
        <v>-37.662519651790582</v>
      </c>
    </row>
    <row r="395" spans="1:7">
      <c r="A395" s="22">
        <v>0.11819999999998843</v>
      </c>
      <c r="B395" s="22">
        <v>-4.3330600921541486E-2</v>
      </c>
      <c r="C395" s="22">
        <v>-0.12052105021981949</v>
      </c>
      <c r="D395" s="22">
        <v>100.92692680064874</v>
      </c>
      <c r="E395" s="22">
        <v>-23020295.045606602</v>
      </c>
      <c r="F395" s="22">
        <f>(E395/dane!$B$8)*dane!$L$31</f>
        <v>-140686.88886443578</v>
      </c>
      <c r="G395" s="22">
        <f xml:space="preserve"> B395*dane!$B$10</f>
        <v>-37.69762280174109</v>
      </c>
    </row>
    <row r="396" spans="1:7">
      <c r="A396" s="22">
        <v>0.11849999999998835</v>
      </c>
      <c r="B396" s="22">
        <v>-4.3361865859096869E-2</v>
      </c>
      <c r="C396" s="22">
        <v>-9.0240396950632587E-2</v>
      </c>
      <c r="D396" s="22">
        <v>100.94220086105986</v>
      </c>
      <c r="E396" s="22">
        <v>-23023778.886721697</v>
      </c>
      <c r="F396" s="22">
        <f>(E396/dane!$B$8)*dane!$L$31</f>
        <v>-140708.18011056486</v>
      </c>
      <c r="G396" s="22">
        <f xml:space="preserve"> B396*dane!$B$10</f>
        <v>-37.724823297414275</v>
      </c>
    </row>
    <row r="397" spans="1:7">
      <c r="A397" s="22">
        <v>0.11879999999998828</v>
      </c>
      <c r="B397" s="22">
        <v>-4.3384045941380636E-2</v>
      </c>
      <c r="C397" s="22">
        <v>-5.9955862721859973E-2</v>
      </c>
      <c r="D397" s="22">
        <v>100.95313371049149</v>
      </c>
      <c r="E397" s="22">
        <v>-23026272.546516791</v>
      </c>
      <c r="F397" s="22">
        <f>(E397/dane!$B$8)*dane!$L$31</f>
        <v>-140723.41993428406</v>
      </c>
      <c r="G397" s="22">
        <f xml:space="preserve"> B397*dane!$B$10</f>
        <v>-37.744119969001154</v>
      </c>
    </row>
    <row r="398" spans="1:7">
      <c r="A398" s="22">
        <v>0.1190999999999882</v>
      </c>
      <c r="B398" s="22">
        <v>-4.3397140214496255E-2</v>
      </c>
      <c r="C398" s="22">
        <v>-2.966874997738914E-2</v>
      </c>
      <c r="D398" s="22">
        <v>100.95972487875569</v>
      </c>
      <c r="E398" s="22">
        <v>-23027775.917747315</v>
      </c>
      <c r="F398" s="22">
        <f>(E398/dane!$B$8)*dane!$L$31</f>
        <v>-140732.60768017574</v>
      </c>
      <c r="G398" s="22">
        <f xml:space="preserve"> B398*dane!$B$10</f>
        <v>-37.755511986611744</v>
      </c>
    </row>
    <row r="399" spans="1:7">
      <c r="A399" s="22">
        <v>0.11939999999998813</v>
      </c>
      <c r="B399" s="22">
        <v>-4.3401148115299631E-2</v>
      </c>
      <c r="C399" s="22">
        <v>6.1963872799844456E-4</v>
      </c>
      <c r="D399" s="22">
        <v>100.96197408238675</v>
      </c>
      <c r="E399" s="22">
        <v>-23028288.935757928</v>
      </c>
      <c r="F399" s="22">
        <f>(E399/dane!$B$8)*dane!$L$31</f>
        <v>-140735.74295310344</v>
      </c>
      <c r="G399" s="22">
        <f xml:space="preserve"> B399*dane!$B$10</f>
        <v>-37.758998860310676</v>
      </c>
    </row>
    <row r="400" spans="1:7">
      <c r="A400" s="22">
        <v>0.11969999999998805</v>
      </c>
      <c r="B400" s="22">
        <v>-4.3396069471423424E-2</v>
      </c>
      <c r="C400" s="22">
        <v>3.0908000784646186E-2</v>
      </c>
      <c r="D400" s="22">
        <v>100.95988122465343</v>
      </c>
      <c r="E400" s="22">
        <v>-23027811.578485329</v>
      </c>
      <c r="F400" s="22">
        <f>(E400/dane!$B$8)*dane!$L$31</f>
        <v>-140732.8256182289</v>
      </c>
      <c r="G400" s="22">
        <f xml:space="preserve"> B400*dane!$B$10</f>
        <v>-37.754580440138376</v>
      </c>
    </row>
    <row r="401" spans="1:7">
      <c r="A401" s="22">
        <v>0.11999999999998798</v>
      </c>
      <c r="B401" s="22">
        <v>-4.3381904501284319E-2</v>
      </c>
      <c r="C401" s="22">
        <v>6.1195033584043601E-2</v>
      </c>
      <c r="D401" s="22">
        <v>100.95344639556302</v>
      </c>
      <c r="E401" s="22">
        <v>-23026343.866459161</v>
      </c>
      <c r="F401" s="22">
        <f>(E401/dane!$B$8)*dane!$L$31</f>
        <v>-140723.85580101755</v>
      </c>
      <c r="G401" s="22">
        <f xml:space="preserve"> B401*dane!$B$10</f>
        <v>-37.742256916117356</v>
      </c>
    </row>
    <row r="402" spans="1:7">
      <c r="A402" s="22">
        <v>0.1202999999999879</v>
      </c>
      <c r="B402" s="22">
        <v>-4.3358653814073757E-2</v>
      </c>
      <c r="C402" s="22">
        <v>9.1479434574847404E-2</v>
      </c>
      <c r="D402" s="22">
        <v>100.94266987185758</v>
      </c>
      <c r="E402" s="22">
        <v>-23023885.862801176</v>
      </c>
      <c r="F402" s="22">
        <f>(E402/dane!$B$8)*dane!$L$31</f>
        <v>-140708.83388723349</v>
      </c>
      <c r="G402" s="22">
        <f xml:space="preserve"> B402*dane!$B$10</f>
        <v>-37.722028818244169</v>
      </c>
    </row>
    <row r="403" spans="1:7">
      <c r="A403" s="22">
        <v>0.12059999999998783</v>
      </c>
      <c r="B403" s="22">
        <v>-4.3326318409731682E-2</v>
      </c>
      <c r="C403" s="22">
        <v>0.12175990131890023</v>
      </c>
      <c r="D403" s="22">
        <v>100.92755211700194</v>
      </c>
      <c r="E403" s="22">
        <v>-23020437.673222478</v>
      </c>
      <c r="F403" s="22">
        <f>(E403/dane!$B$8)*dane!$L$31</f>
        <v>-140687.76052292253</v>
      </c>
      <c r="G403" s="22">
        <f xml:space="preserve"> B403*dane!$B$10</f>
        <v>-37.693897016466565</v>
      </c>
    </row>
    <row r="404" spans="1:7">
      <c r="A404" s="22">
        <v>0.12089999999998775</v>
      </c>
      <c r="B404" s="22">
        <v>-4.3284899678903539E-2</v>
      </c>
      <c r="C404" s="22">
        <v>0.15203513154724452</v>
      </c>
      <c r="D404" s="22">
        <v>100.90809378116387</v>
      </c>
      <c r="E404" s="22">
        <v>-23015999.446019012</v>
      </c>
      <c r="F404" s="22">
        <f>(E404/dane!$B$8)*dane!$L$31</f>
        <v>-140660.63661438477</v>
      </c>
      <c r="G404" s="22">
        <f xml:space="preserve"> B404*dane!$B$10</f>
        <v>-37.657862720646079</v>
      </c>
    </row>
    <row r="405" spans="1:7">
      <c r="A405" s="22">
        <v>0.12119999999998768</v>
      </c>
      <c r="B405" s="22">
        <v>-4.3234399402880486E-2</v>
      </c>
      <c r="C405" s="22">
        <v>0.1823038232161289</v>
      </c>
      <c r="D405" s="22">
        <v>100.88429570118603</v>
      </c>
      <c r="E405" s="22">
        <v>-23010571.372065164</v>
      </c>
      <c r="F405" s="22">
        <f>(E405/dane!$B$8)*dane!$L$31</f>
        <v>-140627.46332813537</v>
      </c>
      <c r="G405" s="22">
        <f xml:space="preserve"> B405*dane!$B$10</f>
        <v>-37.613927480506021</v>
      </c>
    </row>
    <row r="406" spans="1:7">
      <c r="A406" s="22">
        <v>0.1214999999999876</v>
      </c>
      <c r="B406" s="22">
        <v>-4.3174819753522761E-2</v>
      </c>
      <c r="C406" s="22">
        <v>0.21256467456300532</v>
      </c>
      <c r="D406" s="22">
        <v>100.85615890055007</v>
      </c>
      <c r="E406" s="22">
        <v>-23004153.684805561</v>
      </c>
      <c r="F406" s="22">
        <f>(E406/dane!$B$8)*dane!$L$31</f>
        <v>-140588.24209085456</v>
      </c>
      <c r="G406" s="22">
        <f xml:space="preserve"> B406*dane!$B$10</f>
        <v>-37.562093185564805</v>
      </c>
    </row>
    <row r="407" spans="1:7">
      <c r="A407" s="22">
        <v>0.12179999999998753</v>
      </c>
      <c r="B407" s="22">
        <v>-4.3106163293166293E-2</v>
      </c>
      <c r="C407" s="22">
        <v>0.24281638416251347</v>
      </c>
      <c r="D407" s="22">
        <v>100.82368458933247</v>
      </c>
      <c r="E407" s="22">
        <v>-22996746.660245024</v>
      </c>
      <c r="F407" s="22">
        <f>(E407/dane!$B$8)*dane!$L$31</f>
        <v>-140542.97458932604</v>
      </c>
      <c r="G407" s="22">
        <f xml:space="preserve"> B407*dane!$B$10</f>
        <v>-37.502362065054676</v>
      </c>
    </row>
    <row r="408" spans="1:7">
      <c r="A408" s="22">
        <v>0.12209999999998745</v>
      </c>
      <c r="B408" s="22">
        <v>-4.3028432974512504E-2</v>
      </c>
      <c r="C408" s="22">
        <v>0.27305765098245149</v>
      </c>
      <c r="D408" s="22">
        <v>100.78687416415265</v>
      </c>
      <c r="E408" s="22">
        <v>-22988350.616936706</v>
      </c>
      <c r="F408" s="22">
        <f>(E408/dane!$B$8)*dane!$L$31</f>
        <v>-140491.66277036461</v>
      </c>
      <c r="G408" s="22">
        <f xml:space="preserve"> B408*dane!$B$10</f>
        <v>-37.434736687825875</v>
      </c>
    </row>
    <row r="409" spans="1:7">
      <c r="A409" s="22">
        <v>0.12239999999998738</v>
      </c>
      <c r="B409" s="22">
        <v>-4.2941632140501312E-2</v>
      </c>
      <c r="C409" s="22">
        <v>0.30328717443972875</v>
      </c>
      <c r="D409" s="22">
        <v>100.74572920811282</v>
      </c>
      <c r="E409" s="22">
        <v>-22978965.915968388</v>
      </c>
      <c r="F409" s="22">
        <f>(E409/dane!$B$8)*dane!$L$31</f>
        <v>-140434.30884073253</v>
      </c>
      <c r="G409" s="22">
        <f xml:space="preserve"> B409*dane!$B$10</f>
        <v>-37.359219962236139</v>
      </c>
    </row>
    <row r="410" spans="1:7">
      <c r="A410" s="22">
        <v>0.12269999999998731</v>
      </c>
      <c r="B410" s="22">
        <v>-4.2845764524167364E-2</v>
      </c>
      <c r="C410" s="22">
        <v>0.3335036544563007</v>
      </c>
      <c r="D410" s="22">
        <v>100.70025149072995</v>
      </c>
      <c r="E410" s="22">
        <v>-22968592.960946959</v>
      </c>
      <c r="F410" s="22">
        <f>(E410/dane!$B$8)*dane!$L$31</f>
        <v>-140370.91526704442</v>
      </c>
      <c r="G410" s="22">
        <f xml:space="preserve"> B410*dane!$B$10</f>
        <v>-37.275815136025606</v>
      </c>
    </row>
    <row r="411" spans="1:7">
      <c r="A411" s="22">
        <v>0.12299999999998723</v>
      </c>
      <c r="B411" s="22">
        <v>-4.2740834248479506E-2</v>
      </c>
      <c r="C411" s="22">
        <v>0.36370579151508015</v>
      </c>
      <c r="D411" s="22">
        <v>100.65044296785959</v>
      </c>
      <c r="E411" s="22">
        <v>-22957232.19798103</v>
      </c>
      <c r="F411" s="22">
        <f>(E411/dane!$B$8)*dane!$L$31</f>
        <v>-140301.4847756612</v>
      </c>
      <c r="G411" s="22">
        <f xml:space="preserve"> B411*dane!$B$10</f>
        <v>-37.184525796177169</v>
      </c>
    </row>
    <row r="412" spans="1:7">
      <c r="A412" s="22">
        <v>0.12329999999998716</v>
      </c>
      <c r="B412" s="22">
        <v>-4.2626845826163426E-2</v>
      </c>
      <c r="C412" s="22">
        <v>0.39389228671582638</v>
      </c>
      <c r="D412" s="22">
        <v>100.59630578161183</v>
      </c>
      <c r="E412" s="22">
        <v>-22944884.115661789</v>
      </c>
      <c r="F412" s="22">
        <f>(E412/dane!$B$8)*dane!$L$31</f>
        <v>-140226.02035257305</v>
      </c>
      <c r="G412" s="22">
        <f xml:space="preserve"> B412*dane!$B$10</f>
        <v>-37.085355868762178</v>
      </c>
    </row>
    <row r="413" spans="1:7">
      <c r="A413" s="22">
        <v>0.12359999999998708</v>
      </c>
      <c r="B413" s="22">
        <v>-4.2503804159507649E-2</v>
      </c>
      <c r="C413" s="22">
        <v>0.42406184183100648</v>
      </c>
      <c r="D413" s="22">
        <v>100.53784226025914</v>
      </c>
      <c r="E413" s="22">
        <v>-22931549.245041955</v>
      </c>
      <c r="F413" s="22">
        <f>(E413/dane!$B$8)*dane!$L$31</f>
        <v>-140144.52524327071</v>
      </c>
      <c r="G413" s="22">
        <f xml:space="preserve"> B413*dane!$B$10</f>
        <v>-36.978309618771654</v>
      </c>
    </row>
    <row r="414" spans="1:7">
      <c r="A414" s="22">
        <v>0.12389999999998701</v>
      </c>
      <c r="B414" s="22">
        <v>-4.2371714540152629E-2</v>
      </c>
      <c r="C414" s="22">
        <v>0.45421315936162793</v>
      </c>
      <c r="D414" s="22">
        <v>100.47505491813624</v>
      </c>
      <c r="E414" s="22">
        <v>-22917228.159612954</v>
      </c>
      <c r="F414" s="22">
        <f>(E414/dane!$B$8)*dane!$L$31</f>
        <v>-140057.00295260601</v>
      </c>
      <c r="G414" s="22">
        <f xml:space="preserve"> B414*dane!$B$10</f>
        <v>-36.863391649932787</v>
      </c>
    </row>
    <row r="415" spans="1:7">
      <c r="A415" s="22">
        <v>0.12419999999998693</v>
      </c>
      <c r="B415" s="22">
        <v>-4.2230582648863195E-2</v>
      </c>
      <c r="C415" s="22">
        <v>0.48434494259304034</v>
      </c>
      <c r="D415" s="22">
        <v>100.40794645553197</v>
      </c>
      <c r="E415" s="22">
        <v>-22901921.475280251</v>
      </c>
      <c r="F415" s="22">
        <f>(E415/dane!$B$8)*dane!$L$31</f>
        <v>-139963.45724464132</v>
      </c>
      <c r="G415" s="22">
        <f xml:space="preserve"> B415*dane!$B$10</f>
        <v>-36.740606904510983</v>
      </c>
    </row>
    <row r="416" spans="1:7">
      <c r="A416" s="22">
        <v>0.12449999999998686</v>
      </c>
      <c r="B416" s="22">
        <v>-4.2080414555284266E-2</v>
      </c>
      <c r="C416" s="22">
        <v>0.51445589565070282</v>
      </c>
      <c r="D416" s="22">
        <v>100.33651975857316</v>
      </c>
      <c r="E416" s="22">
        <v>-22885629.850336865</v>
      </c>
      <c r="F416" s="22">
        <f>(E416/dane!$B$8)*dane!$L$31</f>
        <v>-139863.89214248731</v>
      </c>
      <c r="G416" s="22">
        <f xml:space="preserve"> B416*dane!$B$10</f>
        <v>-36.609960663097311</v>
      </c>
    </row>
    <row r="417" spans="1:7">
      <c r="A417" s="22">
        <v>0.12479999999998678</v>
      </c>
      <c r="B417" s="22">
        <v>-4.1921216717679795E-2</v>
      </c>
      <c r="C417" s="22">
        <v>0.54454472355591543</v>
      </c>
      <c r="D417" s="22">
        <v>100.26077789910056</v>
      </c>
      <c r="E417" s="22">
        <v>-22868353.985435061</v>
      </c>
      <c r="F417" s="22">
        <f>(E417/dane!$B$8)*dane!$L$31</f>
        <v>-139758.31192813028</v>
      </c>
      <c r="G417" s="22">
        <f xml:space="preserve"> B417*dane!$B$10</f>
        <v>-36.47145854438142</v>
      </c>
    </row>
    <row r="418" spans="1:7">
      <c r="A418" s="22">
        <v>0.12509999999998678</v>
      </c>
      <c r="B418" s="22">
        <v>-4.1752995982655014E-2</v>
      </c>
      <c r="C418" s="22">
        <v>0.57461013228151292</v>
      </c>
      <c r="D418" s="22">
        <v>100.18072413453656</v>
      </c>
      <c r="E418" s="22">
        <v>-22850094.623556197</v>
      </c>
      <c r="F418" s="22">
        <f>(E418/dane!$B$8)*dane!$L$31</f>
        <v>-139646.72114224773</v>
      </c>
      <c r="G418" s="22">
        <f xml:space="preserve"> B418*dane!$B$10</f>
        <v>-36.325106504909861</v>
      </c>
    </row>
    <row r="419" spans="1:7">
      <c r="A419" s="22">
        <v>0.12539999999998688</v>
      </c>
      <c r="B419" s="22">
        <v>-4.1575759584861982E-2</v>
      </c>
      <c r="C419" s="22">
        <v>0.60465082880751586</v>
      </c>
      <c r="D419" s="22">
        <v>100.09636190774533</v>
      </c>
      <c r="E419" s="22">
        <v>-22830852.5499788</v>
      </c>
      <c r="F419" s="22">
        <f>(E419/dane!$B$8)*dane!$L$31</f>
        <v>-139529.12458401328</v>
      </c>
      <c r="G419" s="22">
        <f xml:space="preserve"> B419*dane!$B$10</f>
        <v>-36.170910838829926</v>
      </c>
    </row>
    <row r="420" spans="1:7">
      <c r="A420" s="22">
        <v>0.12569999999998699</v>
      </c>
      <c r="B420" s="22">
        <v>-4.1389515146688476E-2</v>
      </c>
      <c r="C420" s="22">
        <v>0.63466552117674047</v>
      </c>
      <c r="D420" s="22">
        <v>100.00769484688456</v>
      </c>
      <c r="E420" s="22">
        <v>-22810628.592244774</v>
      </c>
      <c r="F420" s="22">
        <f>(E420/dane!$B$8)*dane!$L$31</f>
        <v>-139405.5273108902</v>
      </c>
      <c r="G420" s="22">
        <f xml:space="preserve"> B420*dane!$B$10</f>
        <v>-36.008878177618975</v>
      </c>
    </row>
    <row r="421" spans="1:7">
      <c r="A421" s="22">
        <v>0.12599999999998709</v>
      </c>
      <c r="B421" s="22">
        <v>-4.1194270677930106E-2</v>
      </c>
      <c r="C421" s="22">
        <v>0.66465291855036013</v>
      </c>
      <c r="D421" s="22">
        <v>99.91472676524954</v>
      </c>
      <c r="E421" s="22">
        <v>-22789423.620123811</v>
      </c>
      <c r="F421" s="22">
        <f>(E421/dane!$B$8)*dane!$L$31</f>
        <v>-139275.9346384138</v>
      </c>
      <c r="G421" s="22">
        <f xml:space="preserve"> B421*dane!$B$10</f>
        <v>-35.839015489799195</v>
      </c>
    </row>
    <row r="422" spans="1:7">
      <c r="A422" s="22">
        <v>0.1262999999999872</v>
      </c>
      <c r="B422" s="22">
        <v>-4.0990034575445901E-2</v>
      </c>
      <c r="C422" s="22">
        <v>0.69461173126342224</v>
      </c>
      <c r="D422" s="22">
        <v>99.817461661109135</v>
      </c>
      <c r="E422" s="22">
        <v>-22767238.545575999</v>
      </c>
      <c r="F422" s="22">
        <f>(E422/dane!$B$8)*dane!$L$31</f>
        <v>-139140.35213996304</v>
      </c>
      <c r="G422" s="22">
        <f xml:space="preserve"> B422*dane!$B$10</f>
        <v>-35.661330080637931</v>
      </c>
    </row>
    <row r="423" spans="1:7">
      <c r="A423" s="22">
        <v>0.12659999999998731</v>
      </c>
      <c r="B423" s="22">
        <v>-4.0776815622797218E-2</v>
      </c>
      <c r="C423" s="22">
        <v>0.72454067088031116</v>
      </c>
      <c r="D423" s="22">
        <v>99.715903717533749</v>
      </c>
      <c r="E423" s="22">
        <v>-22744074.322712578</v>
      </c>
      <c r="F423" s="22">
        <f>(E423/dane!$B$8)*dane!$L$31</f>
        <v>-138998.78564652058</v>
      </c>
      <c r="G423" s="22">
        <f xml:space="preserve"> B423*dane!$B$10</f>
        <v>-35.47582959183358</v>
      </c>
    </row>
    <row r="424" spans="1:7">
      <c r="A424" s="22">
        <v>0.12689999999998741</v>
      </c>
      <c r="B424" s="22">
        <v>-4.0554622989869865E-2</v>
      </c>
      <c r="C424" s="22">
        <v>0.75443845025016099</v>
      </c>
      <c r="D424" s="22">
        <v>99.610057302215608</v>
      </c>
      <c r="E424" s="22">
        <v>-22719931.947754938</v>
      </c>
      <c r="F424" s="22">
        <f>(E424/dane!$B$8)*dane!$L$31</f>
        <v>-138851.24124642235</v>
      </c>
      <c r="G424" s="22">
        <f xml:space="preserve"> B424*dane!$B$10</f>
        <v>-35.282522001186784</v>
      </c>
    </row>
    <row r="425" spans="1:7">
      <c r="A425" s="22">
        <v>0.12719999999998752</v>
      </c>
      <c r="B425" s="22">
        <v>-4.0323466232479843E-2</v>
      </c>
      <c r="C425" s="22">
        <v>0.78430378356221131</v>
      </c>
      <c r="D425" s="22">
        <v>99.4999269672807</v>
      </c>
      <c r="E425" s="22">
        <v>-22694812.45899174</v>
      </c>
      <c r="F425" s="22">
        <f>(E425/dane!$B$8)*dane!$L$31</f>
        <v>-138697.72528509525</v>
      </c>
      <c r="G425" s="22">
        <f xml:space="preserve"> B425*dane!$B$10</f>
        <v>-35.081415622257467</v>
      </c>
    </row>
    <row r="426" spans="1:7">
      <c r="A426" s="22">
        <v>0.12749999999998762</v>
      </c>
      <c r="B426" s="22">
        <v>-4.0083355291962344E-2</v>
      </c>
      <c r="C426" s="22">
        <v>0.81413538640110561</v>
      </c>
      <c r="D426" s="22">
        <v>99.385517449093157</v>
      </c>
      <c r="E426" s="22">
        <v>-22668716.936734285</v>
      </c>
      <c r="F426" s="22">
        <f>(E426/dane!$B$8)*dane!$L$31</f>
        <v>-138538.24436478468</v>
      </c>
      <c r="G426" s="22">
        <f xml:space="preserve"> B426*dane!$B$10</f>
        <v>-34.872519104007239</v>
      </c>
    </row>
    <row r="427" spans="1:7">
      <c r="A427" s="22">
        <v>0.12779999999998773</v>
      </c>
      <c r="B427" s="22">
        <v>-3.98343004947442E-2</v>
      </c>
      <c r="C427" s="22">
        <v>0.84393197580213064</v>
      </c>
      <c r="D427" s="22">
        <v>99.266833668051532</v>
      </c>
      <c r="E427" s="22">
        <v>-22641646.503270052</v>
      </c>
      <c r="F427" s="22">
        <f>(E427/dane!$B$8)*dane!$L$31</f>
        <v>-138372.8053442704</v>
      </c>
      <c r="G427" s="22">
        <f xml:space="preserve"> B427*dane!$B$10</f>
        <v>-34.655841430427451</v>
      </c>
    </row>
    <row r="428" spans="1:7">
      <c r="A428" s="22">
        <v>0.12809999999998783</v>
      </c>
      <c r="B428" s="22">
        <v>-3.9576312551899744E-2</v>
      </c>
      <c r="C428" s="22">
        <v>0.87369227030639252</v>
      </c>
      <c r="D428" s="22">
        <v>99.143880728377113</v>
      </c>
      <c r="E428" s="22">
        <v>-22613602.32281442</v>
      </c>
      <c r="F428" s="22">
        <f>(E428/dane!$B$8)*dane!$L$31</f>
        <v>-138201.41533857156</v>
      </c>
      <c r="G428" s="22">
        <f xml:space="preserve"> B428*dane!$B$10</f>
        <v>-34.431391920152777</v>
      </c>
    </row>
    <row r="429" spans="1:7">
      <c r="A429" s="22">
        <v>0.12839999999998794</v>
      </c>
      <c r="B429" s="22">
        <v>-3.9309402558690268E-2</v>
      </c>
      <c r="C429" s="22">
        <v>0.90341499001592873</v>
      </c>
      <c r="D429" s="22">
        <v>99.016663917894505</v>
      </c>
      <c r="E429" s="22">
        <v>-22584585.601460613</v>
      </c>
      <c r="F429" s="22">
        <f>(E429/dane!$B$8)*dane!$L$31</f>
        <v>-138024.08171864072</v>
      </c>
      <c r="G429" s="22">
        <f xml:space="preserve"> B429*dane!$B$10</f>
        <v>-34.199180226060534</v>
      </c>
    </row>
    <row r="430" spans="1:7">
      <c r="A430" s="22">
        <v>0.12869999999998805</v>
      </c>
      <c r="B430" s="22">
        <v>-3.9033581994086741E-2</v>
      </c>
      <c r="C430" s="22">
        <v>0.93309885664875158</v>
      </c>
      <c r="D430" s="22">
        <v>98.885188707804161</v>
      </c>
      <c r="E430" s="22">
        <v>-22554597.587127816</v>
      </c>
      <c r="F430" s="22">
        <f>(E430/dane!$B$8)*dane!$L$31</f>
        <v>-137840.81211104686</v>
      </c>
      <c r="G430" s="22">
        <f xml:space="preserve"> B430*dane!$B$10</f>
        <v>-33.959216334855462</v>
      </c>
    </row>
    <row r="431" spans="1:7">
      <c r="A431" s="22">
        <v>0.12899999999998815</v>
      </c>
      <c r="B431" s="22">
        <v>-3.8748862720276146E-2</v>
      </c>
      <c r="C431" s="22">
        <v>0.96274259359382353</v>
      </c>
      <c r="D431" s="22">
        <v>98.749460752447064</v>
      </c>
      <c r="E431" s="22">
        <v>-22523639.569507517</v>
      </c>
      <c r="F431" s="22">
        <f>(E431/dane!$B$8)*dane!$L$31</f>
        <v>-137651.61439764735</v>
      </c>
      <c r="G431" s="22">
        <f xml:space="preserve"> B431*dane!$B$10</f>
        <v>-33.71151056664025</v>
      </c>
    </row>
    <row r="432" spans="1:7">
      <c r="A432" s="22">
        <v>0.12929999999998826</v>
      </c>
      <c r="B432" s="22">
        <v>-3.8455256982151402E-2</v>
      </c>
      <c r="C432" s="22">
        <v>0.99234492596596102</v>
      </c>
      <c r="D432" s="22">
        <v>98.609485889061631</v>
      </c>
      <c r="E432" s="22">
        <v>-22491712.880008034</v>
      </c>
      <c r="F432" s="22">
        <f>(E432/dane!$B$8)*dane!$L$31</f>
        <v>-137456.49671524909</v>
      </c>
      <c r="G432" s="22">
        <f xml:space="preserve"> B432*dane!$B$10</f>
        <v>-33.456073574471716</v>
      </c>
    </row>
    <row r="433" spans="1:7">
      <c r="A433" s="22">
        <v>0.12959999999998836</v>
      </c>
      <c r="B433" s="22">
        <v>-3.8152777406784626E-2</v>
      </c>
      <c r="C433" s="22">
        <v>1.0219045806606626</v>
      </c>
      <c r="D433" s="22">
        <v>98.465270137532571</v>
      </c>
      <c r="E433" s="22">
        <v>-22458818.891697261</v>
      </c>
      <c r="F433" s="22">
        <f>(E433/dane!$B$8)*dane!$L$31</f>
        <v>-137255.46745525842</v>
      </c>
      <c r="G433" s="22">
        <f xml:space="preserve"> B433*dane!$B$10</f>
        <v>-33.192916343902624</v>
      </c>
    </row>
    <row r="434" spans="1:7">
      <c r="A434" s="22">
        <v>0.12989999999998847</v>
      </c>
      <c r="B434" s="22">
        <v>-3.7841437002884198E-2</v>
      </c>
      <c r="C434" s="22">
        <v>1.0514202864088609</v>
      </c>
      <c r="D434" s="22">
        <v>98.316819700132044</v>
      </c>
      <c r="E434" s="22">
        <v>-22424959.019243605</v>
      </c>
      <c r="F434" s="22">
        <f>(E434/dane!$B$8)*dane!$L$31</f>
        <v>-137048.5352633202</v>
      </c>
      <c r="G434" s="22">
        <f xml:space="preserve"> B434*dane!$B$10</f>
        <v>-32.922050192509253</v>
      </c>
    </row>
    <row r="435" spans="1:7">
      <c r="A435" s="22">
        <v>0.13019999999998857</v>
      </c>
      <c r="B435" s="22">
        <v>-3.7521249160235276E-2</v>
      </c>
      <c r="C435" s="22">
        <v>1.0808907738315969</v>
      </c>
      <c r="D435" s="22">
        <v>98.164140961252983</v>
      </c>
      <c r="E435" s="22">
        <v>-22390134.718855172</v>
      </c>
      <c r="F435" s="22">
        <f>(E435/dane!$B$8)*dane!$L$31</f>
        <v>-136835.70903894634</v>
      </c>
      <c r="G435" s="22">
        <f xml:space="preserve"> B435*dane!$B$10</f>
        <v>-32.643486769404689</v>
      </c>
    </row>
    <row r="436" spans="1:7">
      <c r="A436" s="22">
        <v>0.13049999999998868</v>
      </c>
      <c r="B436" s="22">
        <v>-3.719222764912386E-2</v>
      </c>
      <c r="C436" s="22">
        <v>1.1103147754946119</v>
      </c>
      <c r="D436" s="22">
        <v>98.007240487134368</v>
      </c>
      <c r="E436" s="22">
        <v>-22354347.488217108</v>
      </c>
      <c r="F436" s="22">
        <f>(E436/dane!$B$8)*dane!$L$31</f>
        <v>-136616.99793513256</v>
      </c>
      <c r="G436" s="22">
        <f xml:space="preserve"> B436*dane!$B$10</f>
        <v>-32.357238054737756</v>
      </c>
    </row>
    <row r="437" spans="1:7">
      <c r="A437" s="22">
        <v>0.13079999999998879</v>
      </c>
      <c r="B437" s="22">
        <v>-3.6854386619744668E-2</v>
      </c>
      <c r="C437" s="22">
        <v>1.1396910259628545</v>
      </c>
      <c r="D437" s="22">
        <v>97.846125025578985</v>
      </c>
      <c r="E437" s="22">
        <v>-22317598.866427206</v>
      </c>
      <c r="F437" s="22">
        <f>(E437/dane!$B$8)*dane!$L$31</f>
        <v>-136392.41135796515</v>
      </c>
      <c r="G437" s="22">
        <f xml:space="preserve"> B437*dane!$B$10</f>
        <v>-32.063316359177861</v>
      </c>
    </row>
    <row r="438" spans="1:7">
      <c r="A438" s="22">
        <v>0.13109999999998889</v>
      </c>
      <c r="B438" s="22">
        <v>-3.6507740601592543E-2</v>
      </c>
      <c r="C438" s="22">
        <v>1.1690182618549048</v>
      </c>
      <c r="D438" s="22">
        <v>97.680801505663069</v>
      </c>
      <c r="E438" s="22">
        <v>-22279890.433929704</v>
      </c>
      <c r="F438" s="22">
        <f>(E438/dane!$B$8)*dane!$L$31</f>
        <v>-136161.9589662161</v>
      </c>
      <c r="G438" s="22">
        <f xml:space="preserve"> B438*dane!$B$10</f>
        <v>-31.761734323385515</v>
      </c>
    </row>
    <row r="439" spans="1:7">
      <c r="A439" s="22">
        <v>0.131399999999989</v>
      </c>
      <c r="B439" s="22">
        <v>-3.6152304502837587E-2</v>
      </c>
      <c r="C439" s="22">
        <v>1.1982952218973075</v>
      </c>
      <c r="D439" s="22">
        <v>97.511277037438504</v>
      </c>
      <c r="E439" s="22">
        <v>-22241223.812447339</v>
      </c>
      <c r="F439" s="22">
        <f>(E439/dane!$B$8)*dane!$L$31</f>
        <v>-135925.65067092815</v>
      </c>
      <c r="G439" s="22">
        <f xml:space="preserve"> B439*dane!$B$10</f>
        <v>-31.452504917468701</v>
      </c>
    </row>
    <row r="440" spans="1:7">
      <c r="A440" s="22">
        <v>0.1316999999999891</v>
      </c>
      <c r="B440" s="22">
        <v>-3.5788093609683956E-2</v>
      </c>
      <c r="C440" s="22">
        <v>1.2275206469788158</v>
      </c>
      <c r="D440" s="22">
        <v>97.337558911626857</v>
      </c>
      <c r="E440" s="22">
        <v>-22201600.664911568</v>
      </c>
      <c r="F440" s="22">
        <f>(E440/dane!$B$8)*dane!$L$31</f>
        <v>-135683.49663498811</v>
      </c>
      <c r="G440" s="22">
        <f xml:space="preserve"> B440*dane!$B$10</f>
        <v>-31.13564144042504</v>
      </c>
    </row>
    <row r="441" spans="1:7">
      <c r="A441" s="22">
        <v>0.13199999999998921</v>
      </c>
      <c r="B441" s="22">
        <v>-3.5415123585712575E-2</v>
      </c>
      <c r="C441" s="22">
        <v>1.2566932802045419</v>
      </c>
      <c r="D441" s="22">
        <v>97.15965459930591</v>
      </c>
      <c r="E441" s="22">
        <v>-22161022.695391074</v>
      </c>
      <c r="F441" s="22">
        <f>(E441/dane!$B$8)*dane!$L$31</f>
        <v>-135435.50727269001</v>
      </c>
      <c r="G441" s="22">
        <f xml:space="preserve"> B441*dane!$B$10</f>
        <v>-30.811157519569942</v>
      </c>
    </row>
    <row r="442" spans="1:7">
      <c r="A442" s="22">
        <v>0.13229999999998932</v>
      </c>
      <c r="B442" s="22">
        <v>-3.5033410471207366E-2</v>
      </c>
      <c r="C442" s="22">
        <v>1.2858118669500114</v>
      </c>
      <c r="D442" s="22">
        <v>96.977571751588357</v>
      </c>
      <c r="E442" s="22">
        <v>-22119491.64901847</v>
      </c>
      <c r="F442" s="22">
        <f>(E442/dane!$B$8)*dane!$L$31</f>
        <v>-135181.69324928717</v>
      </c>
      <c r="G442" s="22">
        <f xml:space="preserve"> B442*dane!$B$10</f>
        <v>-30.479067109950407</v>
      </c>
    </row>
    <row r="443" spans="1:7">
      <c r="A443" s="22">
        <v>0.13259999999998942</v>
      </c>
      <c r="B443" s="22">
        <v>-3.4642970682465482E-2</v>
      </c>
      <c r="C443" s="22">
        <v>1.3148751549151225</v>
      </c>
      <c r="D443" s="22">
        <v>96.791318199292746</v>
      </c>
      <c r="E443" s="22">
        <v>-22077009.311915249</v>
      </c>
      <c r="F443" s="22">
        <f>(E443/dane!$B$8)*dane!$L$31</f>
        <v>-134922.06548053349</v>
      </c>
      <c r="G443" s="22">
        <f xml:space="preserve"> B443*dane!$B$10</f>
        <v>-30.13938449374497</v>
      </c>
    </row>
    <row r="444" spans="1:7">
      <c r="A444" s="22">
        <v>0.13289999999998953</v>
      </c>
      <c r="B444" s="22">
        <v>-3.4243821011091247E-2</v>
      </c>
      <c r="C444" s="22">
        <v>1.3438818941780011</v>
      </c>
      <c r="D444" s="22">
        <v>96.600901952606677</v>
      </c>
      <c r="E444" s="22">
        <v>-22033577.511114966</v>
      </c>
      <c r="F444" s="22">
        <f>(E444/dane!$B$8)*dane!$L$31</f>
        <v>-134656.63513221405</v>
      </c>
      <c r="G444" s="22">
        <f xml:space="preserve"> B444*dane!$B$10</f>
        <v>-29.792124279649386</v>
      </c>
    </row>
    <row r="445" spans="1:7">
      <c r="A445" s="22">
        <v>0.13319999999998963</v>
      </c>
      <c r="B445" s="22">
        <v>-3.3835978623274039E-2</v>
      </c>
      <c r="C445" s="22">
        <v>1.3728308372487585</v>
      </c>
      <c r="D445" s="22">
        <v>96.406331200742315</v>
      </c>
      <c r="E445" s="22">
        <v>-21989198.114484668</v>
      </c>
      <c r="F445" s="22">
        <f>(E445/dane!$B$8)*dane!$L$31</f>
        <v>-134385.41361966488</v>
      </c>
      <c r="G445" s="22">
        <f xml:space="preserve"> B445*dane!$B$10</f>
        <v>-29.437301402248416</v>
      </c>
    </row>
    <row r="446" spans="1:7">
      <c r="A446" s="22">
        <v>0.13349999999998974</v>
      </c>
      <c r="B446" s="22">
        <v>-3.3419461059050005E-2</v>
      </c>
      <c r="C446" s="22">
        <v>1.4017207391231401</v>
      </c>
      <c r="D446" s="22">
        <v>96.207614311584237</v>
      </c>
      <c r="E446" s="22">
        <v>-21943873.030644558</v>
      </c>
      <c r="F446" s="22">
        <f>(E446/dane!$B$8)*dane!$L$31</f>
        <v>-134108.41260728205</v>
      </c>
      <c r="G446" s="22">
        <f xml:space="preserve"> B446*dane!$B$10</f>
        <v>-29.074931121373506</v>
      </c>
    </row>
    <row r="447" spans="1:7">
      <c r="A447" s="22">
        <v>0.13379999999998984</v>
      </c>
      <c r="B447" s="22">
        <v>-3.2994286231547737E-2</v>
      </c>
      <c r="C447" s="22">
        <v>1.4305503573360705</v>
      </c>
      <c r="D447" s="22">
        <v>96.004759831329523</v>
      </c>
      <c r="E447" s="22">
        <v>-21897604.208885916</v>
      </c>
      <c r="F447" s="22">
        <f>(E447/dane!$B$8)*dane!$L$31</f>
        <v>-133825.64400801991</v>
      </c>
      <c r="G447" s="22">
        <f xml:space="preserve"> B447*dane!$B$10</f>
        <v>-28.705029021446531</v>
      </c>
    </row>
    <row r="448" spans="1:7">
      <c r="A448" s="22">
        <v>0.13409999999998995</v>
      </c>
      <c r="B448" s="22">
        <v>-3.2560472426217839E-2</v>
      </c>
      <c r="C448" s="22">
        <v>1.4593184520150873</v>
      </c>
      <c r="D448" s="22">
        <v>95.797776484120163</v>
      </c>
      <c r="E448" s="22">
        <v>-21850393.639087252</v>
      </c>
      <c r="F448" s="22">
        <f>(E448/dane!$B$8)*dane!$L$31</f>
        <v>-133537.11998287897</v>
      </c>
      <c r="G448" s="22">
        <f xml:space="preserve"> B448*dane!$B$10</f>
        <v>-28.32761101080952</v>
      </c>
    </row>
    <row r="449" spans="1:7">
      <c r="A449" s="22">
        <v>0.13439999999999006</v>
      </c>
      <c r="B449" s="22">
        <v>-3.2118038300046566E-2</v>
      </c>
      <c r="C449" s="22">
        <v>1.4880237859336651</v>
      </c>
      <c r="D449" s="22">
        <v>95.586673171667982</v>
      </c>
      <c r="E449" s="22">
        <v>-21802243.351628754</v>
      </c>
      <c r="F449" s="22">
        <f>(E449/dane!$B$8)*dane!$L$31</f>
        <v>-133242.85294038258</v>
      </c>
      <c r="G449" s="22">
        <f xml:space="preserve"> B449*dane!$B$10</f>
        <v>-27.942693321040512</v>
      </c>
    </row>
    <row r="450" spans="1:7">
      <c r="A450" s="22">
        <v>0.13469999999999016</v>
      </c>
      <c r="B450" s="22">
        <v>-3.1667002880753463E-2</v>
      </c>
      <c r="C450" s="22">
        <v>1.5166651245644238</v>
      </c>
      <c r="D450" s="22">
        <v>95.371458972871679</v>
      </c>
      <c r="E450" s="22">
        <v>-21753155.417304937</v>
      </c>
      <c r="F450" s="22">
        <f>(E450/dane!$B$8)*dane!$L$31</f>
        <v>-132942.85553604359</v>
      </c>
      <c r="G450" s="22">
        <f xml:space="preserve"> B450*dane!$B$10</f>
        <v>-27.550292506255513</v>
      </c>
    </row>
    <row r="451" spans="1:7">
      <c r="A451" s="22">
        <v>0.13499999999999027</v>
      </c>
      <c r="B451" s="22">
        <v>-3.1207385565972984E-2</v>
      </c>
      <c r="C451" s="22">
        <v>1.5452412361322221</v>
      </c>
      <c r="D451" s="22">
        <v>95.152143143426443</v>
      </c>
      <c r="E451" s="22">
        <v>-21703131.947235614</v>
      </c>
      <c r="F451" s="22">
        <f>(E451/dane!$B$8)*dane!$L$31</f>
        <v>-132637.14067181994</v>
      </c>
      <c r="G451" s="22">
        <f xml:space="preserve"> B451*dane!$B$10</f>
        <v>-27.150425442396497</v>
      </c>
    </row>
    <row r="452" spans="1:7">
      <c r="A452" s="22">
        <v>0.13529999999999037</v>
      </c>
      <c r="B452" s="22">
        <v>-3.0739206122420312E-2</v>
      </c>
      <c r="C452" s="22">
        <v>1.5737508916671319</v>
      </c>
      <c r="D452" s="22">
        <v>94.928735115425894</v>
      </c>
      <c r="E452" s="22">
        <v>-21652175.092775077</v>
      </c>
      <c r="F452" s="22">
        <f>(E452/dane!$B$8)*dane!$L$31</f>
        <v>-132325.72149555967</v>
      </c>
      <c r="G452" s="22">
        <f xml:space="preserve"> B452*dane!$B$10</f>
        <v>-26.743109326505671</v>
      </c>
    </row>
    <row r="453" spans="1:7">
      <c r="A453" s="22">
        <v>0.13559999999999048</v>
      </c>
      <c r="B453" s="22">
        <v>-3.0262484685041214E-2</v>
      </c>
      <c r="C453" s="22">
        <v>1.6021928650572932</v>
      </c>
      <c r="D453" s="22">
        <v>94.701244496956363</v>
      </c>
      <c r="E453" s="22">
        <v>-21600287.045419589</v>
      </c>
      <c r="F453" s="22">
        <f>(E453/dane!$B$8)*dane!$L$31</f>
        <v>-132008.61140043574</v>
      </c>
      <c r="G453" s="22">
        <f xml:space="preserve"> B453*dane!$B$10</f>
        <v>-26.328361675985857</v>
      </c>
    </row>
    <row r="454" spans="1:7">
      <c r="A454" s="22">
        <v>0.13589999999999058</v>
      </c>
      <c r="B454" s="22">
        <v>-2.9777241756146121E-2</v>
      </c>
      <c r="C454" s="22">
        <v>1.6305659331016453</v>
      </c>
      <c r="D454" s="22">
        <v>94.469681071683823</v>
      </c>
      <c r="E454" s="22">
        <v>-21547470.036713138</v>
      </c>
      <c r="F454" s="22">
        <f>(E454/dane!$B$8)*dane!$L$31</f>
        <v>-131685.82402436971</v>
      </c>
      <c r="G454" s="22">
        <f xml:space="preserve"> B454*dane!$B$10</f>
        <v>-25.906200327847124</v>
      </c>
    </row>
    <row r="455" spans="1:7">
      <c r="A455" s="22">
        <v>0.13619999999999069</v>
      </c>
      <c r="B455" s="22">
        <v>-2.9283498204528399E-2</v>
      </c>
      <c r="C455" s="22">
        <v>1.6588688755625336</v>
      </c>
      <c r="D455" s="22">
        <v>94.234054798432936</v>
      </c>
      <c r="E455" s="22">
        <v>-21493726.338151444</v>
      </c>
      <c r="F455" s="22">
        <f>(E455/dane!$B$8)*dane!$L$31</f>
        <v>-131357.37324944555</v>
      </c>
      <c r="G455" s="22">
        <f xml:space="preserve"> B455*dane!$B$10</f>
        <v>-25.476643437939707</v>
      </c>
    </row>
    <row r="456" spans="1:7">
      <c r="A456" s="22">
        <v>0.1364999999999908</v>
      </c>
      <c r="B456" s="22">
        <v>-2.8781275264566808E-2</v>
      </c>
      <c r="C456" s="22">
        <v>1.6871004752181862</v>
      </c>
      <c r="D456" s="22">
        <v>93.994375810758939</v>
      </c>
      <c r="E456" s="22">
        <v>-21439058.2610843</v>
      </c>
      <c r="F456" s="22">
        <f>(E456/dane!$B$8)*dane!$L$31</f>
        <v>-131023.27320131233</v>
      </c>
      <c r="G456" s="22">
        <f xml:space="preserve"> B456*dane!$B$10</f>
        <v>-25.039709480173123</v>
      </c>
    </row>
    <row r="457" spans="1:7">
      <c r="A457" s="22">
        <v>0.1367999999999909</v>
      </c>
      <c r="B457" s="22">
        <v>-2.8270594535312325E-2</v>
      </c>
      <c r="C457" s="22">
        <v>1.7152595179150638</v>
      </c>
      <c r="D457" s="22">
        <v>93.750654416511665</v>
      </c>
      <c r="E457" s="22">
        <v>-21383468.156616136</v>
      </c>
      <c r="F457" s="22">
        <f>(E457/dane!$B$8)*dane!$L$31</f>
        <v>-130683.53824857689</v>
      </c>
      <c r="G457" s="22">
        <f xml:space="preserve"> B457*dane!$B$10</f>
        <v>-24.595417245721723</v>
      </c>
    </row>
    <row r="458" spans="1:7">
      <c r="A458" s="22">
        <v>0.13709999999999101</v>
      </c>
      <c r="B458" s="22">
        <v>-2.7751477979559205E-2</v>
      </c>
      <c r="C458" s="22">
        <v>1.7433447926200776</v>
      </c>
      <c r="D458" s="22">
        <v>93.50290109739241</v>
      </c>
      <c r="E458" s="22">
        <v>-21326958.415504936</v>
      </c>
      <c r="F458" s="22">
        <f>(E458/dane!$B$8)*dane!$L$31</f>
        <v>-130338.18300218589</v>
      </c>
      <c r="G458" s="22">
        <f xml:space="preserve"> B458*dane!$B$10</f>
        <v>-24.143785842216509</v>
      </c>
    </row>
    <row r="459" spans="1:7">
      <c r="A459" s="22">
        <v>0.13739999999999111</v>
      </c>
      <c r="B459" s="22">
        <v>-2.7223947922900428E-2</v>
      </c>
      <c r="C459" s="22">
        <v>1.7713550914726712</v>
      </c>
      <c r="D459" s="22">
        <v>93.251126508502963</v>
      </c>
      <c r="E459" s="22">
        <v>-21269531.468059391</v>
      </c>
      <c r="F459" s="22">
        <f>(E459/dane!$B$8)*dane!$L$31</f>
        <v>-129987.22231479724</v>
      </c>
      <c r="G459" s="22">
        <f xml:space="preserve"> B459*dane!$B$10</f>
        <v>-23.684834692923371</v>
      </c>
    </row>
    <row r="460" spans="1:7">
      <c r="A460" s="22">
        <v>0.13769999999999122</v>
      </c>
      <c r="B460" s="22">
        <v>-2.6688027052767554E-2</v>
      </c>
      <c r="C460" s="22">
        <v>1.799289209836767</v>
      </c>
      <c r="D460" s="22">
        <v>92.995341477887536</v>
      </c>
      <c r="E460" s="22">
        <v>-21211189.784034401</v>
      </c>
      <c r="F460" s="22">
        <f>(E460/dane!$B$8)*dane!$L$31</f>
        <v>-129630.67128014167</v>
      </c>
      <c r="G460" s="22">
        <f xml:space="preserve"> B460*dane!$B$10</f>
        <v>-23.218583535907772</v>
      </c>
    </row>
    <row r="461" spans="1:7">
      <c r="A461" s="22">
        <v>0.13799999999999132</v>
      </c>
      <c r="B461" s="22">
        <v>-2.6143738417455018E-2</v>
      </c>
      <c r="C461" s="22">
        <v>1.8271459463525737</v>
      </c>
      <c r="D461" s="22">
        <v>92.735557006066927</v>
      </c>
      <c r="E461" s="22">
        <v>-21151935.872524843</v>
      </c>
      <c r="F461" s="22">
        <f>(E461/dane!$B$8)*dane!$L$31</f>
        <v>-129268.54523237325</v>
      </c>
      <c r="G461" s="22">
        <f xml:space="preserve"> B461*dane!$B$10</f>
        <v>-22.745052423185864</v>
      </c>
    </row>
    <row r="462" spans="1:7">
      <c r="A462" s="22">
        <v>0.13829999999999143</v>
      </c>
      <c r="B462" s="22">
        <v>-2.5591105425128866E-2</v>
      </c>
      <c r="C462" s="22">
        <v>1.8549241029882528</v>
      </c>
      <c r="D462" s="22">
        <v>92.471784265565532</v>
      </c>
      <c r="E462" s="22">
        <v>-21091772.281857666</v>
      </c>
      <c r="F462" s="22">
        <f>(E462/dane!$B$8)*dane!$L$31</f>
        <v>-128900.85974541013</v>
      </c>
      <c r="G462" s="22">
        <f xml:space="preserve"> B462*dane!$B$10</f>
        <v>-22.264261719862112</v>
      </c>
    </row>
    <row r="463" spans="1:7">
      <c r="A463" s="22">
        <v>0.13859999999999154</v>
      </c>
      <c r="B463" s="22">
        <v>-2.5030151842820075E-2</v>
      </c>
      <c r="C463" s="22">
        <v>1.8826224850914441</v>
      </c>
      <c r="D463" s="22">
        <v>92.204034600430845</v>
      </c>
      <c r="E463" s="22">
        <v>-21030701.599482313</v>
      </c>
      <c r="F463" s="22">
        <f>(E463/dane!$B$8)*dane!$L$31</f>
        <v>-128527.63063226477</v>
      </c>
      <c r="G463" s="22">
        <f xml:space="preserve"> B463*dane!$B$10</f>
        <v>-21.776232103253466</v>
      </c>
    </row>
    <row r="464" spans="1:7">
      <c r="A464" s="22">
        <v>0.13889999999999164</v>
      </c>
      <c r="B464" s="22">
        <v>-2.446090179540238E-2</v>
      </c>
      <c r="C464" s="22">
        <v>1.9102399014406424</v>
      </c>
      <c r="D464" s="22">
        <v>91.93231952574547</v>
      </c>
      <c r="E464" s="22">
        <v>-20968726.451859407</v>
      </c>
      <c r="F464" s="22">
        <f>(E464/dane!$B$8)*dane!$L$31</f>
        <v>-128148.87394436364</v>
      </c>
      <c r="G464" s="22">
        <f xml:space="preserve"> B464*dane!$B$10</f>
        <v>-21.280984562000071</v>
      </c>
    </row>
    <row r="465" spans="1:7">
      <c r="A465" s="22">
        <v>0.13919999999999175</v>
      </c>
      <c r="B465" s="22">
        <v>-2.3883379764554739E-2</v>
      </c>
      <c r="C465" s="22">
        <v>1.9377751642964269</v>
      </c>
      <c r="D465" s="22">
        <v>91.65665072713206</v>
      </c>
      <c r="E465" s="22">
        <v>-20905849.504347835</v>
      </c>
      <c r="F465" s="22">
        <f>(E465/dane!$B$8)*dane!$L$31</f>
        <v>-127764.6059708572</v>
      </c>
      <c r="G465" s="22">
        <f xml:space="preserve"> B465*dane!$B$10</f>
        <v>-20.778540395162622</v>
      </c>
    </row>
    <row r="466" spans="1:7">
      <c r="A466" s="22">
        <v>0.13949999999999185</v>
      </c>
      <c r="B466" s="22">
        <v>-2.3297610587708489E-2</v>
      </c>
      <c r="C466" s="22">
        <v>1.9652270894525454</v>
      </c>
      <c r="D466" s="22">
        <v>91.377040060250607</v>
      </c>
      <c r="E466" s="22">
        <v>-20842073.461090088</v>
      </c>
      <c r="F466" s="22">
        <f>(E466/dane!$B$8)*dane!$L$31</f>
        <v>-127374.84323791915</v>
      </c>
      <c r="G466" s="22">
        <f xml:space="preserve"> B466*dane!$B$10</f>
        <v>-20.268921211306385</v>
      </c>
    </row>
    <row r="467" spans="1:7">
      <c r="A467" s="22">
        <v>0.13979999999999196</v>
      </c>
      <c r="B467" s="22">
        <v>-2.2703619456979112E-2</v>
      </c>
      <c r="C467" s="22">
        <v>1.9925944962868403</v>
      </c>
      <c r="D467" s="22">
        <v>91.093499550288684</v>
      </c>
      <c r="E467" s="22">
        <v>-20777401.06489598</v>
      </c>
      <c r="F467" s="22">
        <f>(E467/dane!$B$8)*dane!$L$31</f>
        <v>-126979.60250803572</v>
      </c>
      <c r="G467" s="22">
        <f xml:space="preserve"> B467*dane!$B$10</f>
        <v>-19.752148927571827</v>
      </c>
    </row>
    <row r="468" spans="1:7">
      <c r="A468" s="22">
        <v>0.14009999999999206</v>
      </c>
      <c r="B468" s="22">
        <v>-2.210143191808283E-2</v>
      </c>
      <c r="C468" s="22">
        <v>2.0198762078120263</v>
      </c>
      <c r="D468" s="22">
        <v>90.806041391444182</v>
      </c>
      <c r="E468" s="22">
        <v>-20711835.097124685</v>
      </c>
      <c r="F468" s="22">
        <f>(E468/dane!$B$8)*dane!$L$31</f>
        <v>-126578.90077928484</v>
      </c>
      <c r="G468" s="22">
        <f xml:space="preserve"> B468*dane!$B$10</f>
        <v>-19.228245768732062</v>
      </c>
    </row>
    <row r="469" spans="1:7">
      <c r="A469" s="22">
        <v>0.14039999999999217</v>
      </c>
      <c r="B469" s="22">
        <v>-2.1491073869237976E-2</v>
      </c>
      <c r="C469" s="22">
        <v>2.0470710507263061</v>
      </c>
      <c r="D469" s="22">
        <v>90.51467794640098</v>
      </c>
      <c r="E469" s="22">
        <v>-20645378.377565123</v>
      </c>
      <c r="F469" s="22">
        <f>(E469/dane!$B$8)*dane!$L$31</f>
        <v>-126172.75528460514</v>
      </c>
      <c r="G469" s="22">
        <f xml:space="preserve"> B469*dane!$B$10</f>
        <v>-18.697234266237039</v>
      </c>
    </row>
    <row r="470" spans="1:7">
      <c r="A470" s="22">
        <v>0.14069999999999228</v>
      </c>
      <c r="B470" s="22">
        <v>-2.0872571560051147E-2</v>
      </c>
      <c r="C470" s="22">
        <v>2.0741778554638342</v>
      </c>
      <c r="D470" s="22">
        <v>90.219421745797135</v>
      </c>
      <c r="E470" s="22">
        <v>-20578033.764314681</v>
      </c>
      <c r="F470" s="22">
        <f>(E470/dane!$B$8)*dane!$L$31</f>
        <v>-125761.18349105457</v>
      </c>
      <c r="G470" s="22">
        <f xml:space="preserve"> B470*dane!$B$10</f>
        <v>-18.159137257244499</v>
      </c>
    </row>
    <row r="471" spans="1:7">
      <c r="A471" s="22">
        <v>0.14099999999999238</v>
      </c>
      <c r="B471" s="22">
        <v>-2.024595159038833E-2</v>
      </c>
      <c r="C471" s="22">
        <v>2.1011954562450117</v>
      </c>
      <c r="D471" s="22">
        <v>89.920285487686073</v>
      </c>
      <c r="E471" s="22">
        <v>-20509804.1536563</v>
      </c>
      <c r="F471" s="22">
        <f>(E471/dane!$B$8)*dane!$L$31</f>
        <v>-125344.20309905949</v>
      </c>
      <c r="G471" s="22">
        <f xml:space="preserve"> B471*dane!$B$10</f>
        <v>-17.613977883637848</v>
      </c>
    </row>
    <row r="472" spans="1:7">
      <c r="A472" s="22">
        <v>0.14129999999999249</v>
      </c>
      <c r="B472" s="22">
        <v>-1.9611240909230925E-2</v>
      </c>
      <c r="C472" s="22">
        <v>2.1281226911266264</v>
      </c>
      <c r="D472" s="22">
        <v>89.61728203699046</v>
      </c>
      <c r="E472" s="22">
        <v>-20440692.47993391</v>
      </c>
      <c r="F472" s="22">
        <f>(E472/dane!$B$8)*dane!$L$31</f>
        <v>-124921.83204165325</v>
      </c>
      <c r="G472" s="22">
        <f xml:space="preserve"> B472*dane!$B$10</f>
        <v>-17.061779591030906</v>
      </c>
    </row>
    <row r="473" spans="1:7">
      <c r="A473" s="22">
        <v>0.14159999999999259</v>
      </c>
      <c r="B473" s="22">
        <v>-1.8968466813516719E-2</v>
      </c>
      <c r="C473" s="22">
        <v>2.1549584020518231</v>
      </c>
      <c r="D473" s="22">
        <v>89.310424424948948</v>
      </c>
      <c r="E473" s="22">
        <v>-20370701.715426251</v>
      </c>
      <c r="F473" s="22">
        <f>(E473/dane!$B$8)*dane!$L$31</f>
        <v>-124494.088483705</v>
      </c>
      <c r="G473" s="22">
        <f xml:space="preserve"> B473*dane!$B$10</f>
        <v>-16.502566127759547</v>
      </c>
    </row>
    <row r="474" spans="1:7">
      <c r="A474" s="22">
        <v>0.1418999999999927</v>
      </c>
      <c r="B474" s="22">
        <v>-1.8317656946965966E-2</v>
      </c>
      <c r="C474" s="22">
        <v>2.1817014348999062</v>
      </c>
      <c r="D474" s="22">
        <v>88.99972584855567</v>
      </c>
      <c r="E474" s="22">
        <v>-20299834.870219018</v>
      </c>
      <c r="F474" s="22">
        <f>(E474/dane!$B$8)*dane!$L$31</f>
        <v>-124060.99082113852</v>
      </c>
      <c r="G474" s="22">
        <f xml:space="preserve"> B474*dane!$B$10</f>
        <v>-15.936361543860389</v>
      </c>
    </row>
    <row r="475" spans="1:7">
      <c r="A475" s="22">
        <v>0.1421999999999928</v>
      </c>
      <c r="B475" s="22">
        <v>-1.7658839298892486E-2</v>
      </c>
      <c r="C475" s="22">
        <v>2.20835063953598</v>
      </c>
      <c r="D475" s="22">
        <v>88.685199669992741</v>
      </c>
      <c r="E475" s="22">
        <v>-20228094.992075428</v>
      </c>
      <c r="F475" s="22">
        <f>(E475/dane!$B$8)*dane!$L$31</f>
        <v>-123622.55768014098</v>
      </c>
      <c r="G475" s="22">
        <f xml:space="preserve"> B475*dane!$B$10</f>
        <v>-15.363190190036462</v>
      </c>
    </row>
    <row r="476" spans="1:7">
      <c r="A476" s="22">
        <v>0.14249999999999291</v>
      </c>
      <c r="B476" s="22">
        <v>-1.6992042202999956E-2</v>
      </c>
      <c r="C476" s="22">
        <v>2.2349048698604066</v>
      </c>
      <c r="D476" s="22">
        <v>88.36685941605559</v>
      </c>
      <c r="E476" s="22">
        <v>-20155485.166305132</v>
      </c>
      <c r="F476" s="22">
        <f>(E476/dane!$B$8)*dane!$L$31</f>
        <v>-123178.80791636194</v>
      </c>
      <c r="G476" s="22">
        <f xml:space="preserve"> B476*dane!$B$10</f>
        <v>-14.783076716609962</v>
      </c>
    </row>
    <row r="477" spans="1:7">
      <c r="A477" s="22">
        <v>0.14279999999999302</v>
      </c>
      <c r="B477" s="22">
        <v>-1.6317294336163347E-2</v>
      </c>
      <c r="C477" s="22">
        <v>2.2613629838581013</v>
      </c>
      <c r="D477" s="22">
        <v>88.044718777571191</v>
      </c>
      <c r="E477" s="22">
        <v>-20082008.515631534</v>
      </c>
      <c r="F477" s="22">
        <f>(E477/dane!$B$8)*dane!$L$31</f>
        <v>-122729.76061410244</v>
      </c>
      <c r="G477" s="22">
        <f xml:space="preserve"> B477*dane!$B$10</f>
        <v>-14.196046072462112</v>
      </c>
    </row>
    <row r="478" spans="1:7">
      <c r="A478" s="22">
        <v>0.14309999999999312</v>
      </c>
      <c r="B478" s="22">
        <v>-1.5634624717195636E-2</v>
      </c>
      <c r="C478" s="22">
        <v>2.2877238436476408</v>
      </c>
      <c r="D478" s="22">
        <v>87.718791608809227</v>
      </c>
      <c r="E478" s="22">
        <v>-20007668.20005748</v>
      </c>
      <c r="F478" s="22">
        <f>(E478/dane!$B$8)*dane!$L$31</f>
        <v>-122275.43508549414</v>
      </c>
      <c r="G478" s="22">
        <f xml:space="preserve"> B478*dane!$B$10</f>
        <v>-13.602123503960204</v>
      </c>
    </row>
    <row r="479" spans="1:7">
      <c r="A479" s="22">
        <v>0.14339999999999323</v>
      </c>
      <c r="B479" s="22">
        <v>-1.4944062705599783E-2</v>
      </c>
      <c r="C479" s="22">
        <v>2.3139863155302063</v>
      </c>
      <c r="D479" s="22">
        <v>87.389091926886351</v>
      </c>
      <c r="E479" s="22">
        <v>-19932467.416729376</v>
      </c>
      <c r="F479" s="22">
        <f>(E479/dane!$B$8)*dane!$L$31</f>
        <v>-121815.85086966897</v>
      </c>
      <c r="G479" s="22">
        <f xml:space="preserve"> B479*dane!$B$10</f>
        <v>-13.001334553871811</v>
      </c>
    </row>
    <row r="480" spans="1:7">
      <c r="A480" s="22">
        <v>0.14369999999999333</v>
      </c>
      <c r="B480" s="22">
        <v>-1.4245638000306081E-2</v>
      </c>
      <c r="C480" s="22">
        <v>2.3401492700383373</v>
      </c>
      <c r="D480" s="22">
        <v>87.055633911163341</v>
      </c>
      <c r="E480" s="22">
        <v>-19856409.399799675</v>
      </c>
      <c r="F480" s="22">
        <f>(E480/dane!$B$8)*dane!$L$31</f>
        <v>-121351.0277319186</v>
      </c>
      <c r="G480" s="22">
        <f xml:space="preserve"> B480*dane!$B$10</f>
        <v>-12.39370506026629</v>
      </c>
    </row>
    <row r="481" spans="1:7">
      <c r="A481" s="22">
        <v>0.14399999999999344</v>
      </c>
      <c r="B481" s="22">
        <v>-1.3539380638394886E-2</v>
      </c>
      <c r="C481" s="22">
        <v>2.3662115819845058</v>
      </c>
      <c r="D481" s="22">
        <v>86.718431902635132</v>
      </c>
      <c r="E481" s="22">
        <v>-19779497.420287777</v>
      </c>
      <c r="F481" s="22">
        <f>(E481/dane!$B$8)*dane!$L$31</f>
        <v>-120880.98566284444</v>
      </c>
      <c r="G481" s="22">
        <f xml:space="preserve"> B481*dane!$B$10</f>
        <v>-11.779261155403551</v>
      </c>
    </row>
    <row r="482" spans="1:7">
      <c r="A482" s="22">
        <v>0.14429999999999354</v>
      </c>
      <c r="B482" s="22">
        <v>-1.2825320993804831E-2</v>
      </c>
      <c r="C482" s="22">
        <v>2.3921721305095098</v>
      </c>
      <c r="D482" s="22">
        <v>86.377500403314329</v>
      </c>
      <c r="E482" s="22">
        <v>-19701734.785939381</v>
      </c>
      <c r="F482" s="22">
        <f>(E482/dane!$B$8)*dane!$L$31</f>
        <v>-120405.7448774981</v>
      </c>
      <c r="G482" s="22">
        <f xml:space="preserve"> B482*dane!$B$10</f>
        <v>-11.158029264610203</v>
      </c>
    </row>
    <row r="483" spans="1:7">
      <c r="A483" s="22">
        <v>0.14459999999999365</v>
      </c>
      <c r="B483" s="22">
        <v>-1.2103489776026514E-2</v>
      </c>
      <c r="C483" s="22">
        <v>2.4180297991306761</v>
      </c>
      <c r="D483" s="22">
        <v>86.032854075607233</v>
      </c>
      <c r="E483" s="22">
        <v>-19623124.841084197</v>
      </c>
      <c r="F483" s="22">
        <f>(E483/dane!$B$8)*dane!$L$31</f>
        <v>-119925.32581451171</v>
      </c>
      <c r="G483" s="22">
        <f xml:space="preserve"> B483*dane!$B$10</f>
        <v>-10.530036105143067</v>
      </c>
    </row>
    <row r="484" spans="1:7">
      <c r="A484" s="22">
        <v>0.14489999999999376</v>
      </c>
      <c r="B484" s="22">
        <v>-1.1373918028781805E-2</v>
      </c>
      <c r="C484" s="22">
        <v>2.4437834757898766</v>
      </c>
      <c r="D484" s="22">
        <v>85.68450774168349</v>
      </c>
      <c r="E484" s="22">
        <v>-19543670.966492146</v>
      </c>
      <c r="F484" s="22">
        <f>(E484/dane!$B$8)*dane!$L$31</f>
        <v>-119439.74913521914</v>
      </c>
      <c r="G484" s="22">
        <f xml:space="preserve"> B484*dane!$B$10</f>
        <v>-9.8953086850401704</v>
      </c>
    </row>
    <row r="485" spans="1:7">
      <c r="A485" s="22">
        <v>0.14519999999999386</v>
      </c>
      <c r="B485" s="22">
        <v>-1.0636637128688732E-2</v>
      </c>
      <c r="C485" s="22">
        <v>2.4694320529013556</v>
      </c>
      <c r="D485" s="22">
        <v>85.332476382838479</v>
      </c>
      <c r="E485" s="22">
        <v>-19463376.579227936</v>
      </c>
      <c r="F485" s="22">
        <f>(E485/dane!$B$8)*dane!$L$31</f>
        <v>-118949.03572276729</v>
      </c>
      <c r="G485" s="22">
        <f xml:space="preserve"> B485*dane!$B$10</f>
        <v>-9.2538743019591969</v>
      </c>
    </row>
    <row r="486" spans="1:7">
      <c r="A486" s="22">
        <v>0.14549999999999397</v>
      </c>
      <c r="B486" s="22">
        <v>-9.8916787839120821E-3</v>
      </c>
      <c r="C486" s="22">
        <v>2.4949744273993621</v>
      </c>
      <c r="D486" s="22">
        <v>84.976775138849121</v>
      </c>
      <c r="E486" s="22">
        <v>-19382245.132504128</v>
      </c>
      <c r="F486" s="22">
        <f>(E486/dane!$B$8)*dane!$L$31</f>
        <v>-118453.2066812181</v>
      </c>
      <c r="G486" s="22">
        <f xml:space="preserve"> B486*dane!$B$10</f>
        <v>-8.6057605420035106</v>
      </c>
    </row>
    <row r="487" spans="1:7">
      <c r="A487" s="22">
        <v>0.14579999999999407</v>
      </c>
      <c r="B487" s="22">
        <v>-9.1390750327997126E-3</v>
      </c>
      <c r="C487" s="22">
        <v>2.5204095007855889</v>
      </c>
      <c r="D487" s="22">
        <v>84.617419307322649</v>
      </c>
      <c r="E487" s="22">
        <v>-19300280.115532607</v>
      </c>
      <c r="F487" s="22">
        <f>(E487/dane!$B$8)*dane!$L$31</f>
        <v>-117952.2833346407</v>
      </c>
      <c r="G487" s="22">
        <f xml:space="preserve"> B487*dane!$B$10</f>
        <v>-7.9509952785357498</v>
      </c>
    </row>
    <row r="488" spans="1:7">
      <c r="A488" s="22">
        <v>0.14609999999999418</v>
      </c>
      <c r="B488" s="22">
        <v>-8.3788582425047119E-3</v>
      </c>
      <c r="C488" s="22">
        <v>2.545736179176421</v>
      </c>
      <c r="D488" s="22">
        <v>84.254424343038849</v>
      </c>
      <c r="E488" s="22">
        <v>-19217485.05337454</v>
      </c>
      <c r="F488" s="22">
        <f>(E488/dane!$B$8)*dane!$L$31</f>
        <v>-117446.28722619469</v>
      </c>
      <c r="G488" s="22">
        <f xml:space="preserve"> B488*dane!$B$10</f>
        <v>-7.289606670979099</v>
      </c>
    </row>
    <row r="489" spans="1:7">
      <c r="A489" s="22">
        <v>0.14639999999999428</v>
      </c>
      <c r="B489" s="22">
        <v>-7.6110611075933575E-3</v>
      </c>
      <c r="C489" s="22">
        <v>2.5709533733499716</v>
      </c>
      <c r="D489" s="22">
        <v>83.887805857285244</v>
      </c>
      <c r="E489" s="22">
        <v>-19133863.506788746</v>
      </c>
      <c r="F489" s="22">
        <f>(E489/dane!$B$8)*dane!$L$31</f>
        <v>-116935.24011720323</v>
      </c>
      <c r="G489" s="22">
        <f xml:space="preserve"> B489*dane!$B$10</f>
        <v>-6.6216231636062206</v>
      </c>
    </row>
    <row r="490" spans="1:7">
      <c r="A490" s="22">
        <v>0.14669999999999439</v>
      </c>
      <c r="B490" s="22">
        <v>-6.8357166486390465E-3</v>
      </c>
      <c r="C490" s="22">
        <v>2.5960599987929323</v>
      </c>
      <c r="D490" s="22">
        <v>83.517579617185845</v>
      </c>
      <c r="E490" s="22">
        <v>-19049419.072078593</v>
      </c>
      <c r="F490" s="22">
        <f>(E490/dane!$B$8)*dane!$L$31</f>
        <v>-116419.16398621748</v>
      </c>
      <c r="G490" s="22">
        <f xml:space="preserve"> B490*dane!$B$10</f>
        <v>-5.94707348431597</v>
      </c>
    </row>
    <row r="491" spans="1:7">
      <c r="A491" s="22">
        <v>0.1469999999999945</v>
      </c>
      <c r="B491" s="22">
        <v>-6.0528582108021712E-3</v>
      </c>
      <c r="C491" s="22">
        <v>2.6210549757472137</v>
      </c>
      <c r="D491" s="22">
        <v>83.143761545022926</v>
      </c>
      <c r="E491" s="22">
        <v>-18964155.380937301</v>
      </c>
      <c r="F491" s="22">
        <f>(E491/dane!$B$8)*dane!$L$31</f>
        <v>-115898.0810280711</v>
      </c>
      <c r="G491" s="22">
        <f xml:space="preserve"> B491*dane!$B$10</f>
        <v>-5.2659866433978886</v>
      </c>
    </row>
    <row r="492" spans="1:7">
      <c r="A492" s="22">
        <v>0.1472999999999946</v>
      </c>
      <c r="B492" s="22">
        <v>-5.2625194623960522E-3</v>
      </c>
      <c r="C492" s="22">
        <v>2.6459372292563792</v>
      </c>
      <c r="D492" s="22">
        <v>82.76636771755237</v>
      </c>
      <c r="E492" s="22">
        <v>-18878076.100291781</v>
      </c>
      <c r="F492" s="22">
        <f>(E492/dane!$B$8)*dane!$L$31</f>
        <v>-115372.01365292606</v>
      </c>
      <c r="G492" s="22">
        <f xml:space="preserve"> B492*dane!$B$10</f>
        <v>-4.5783919322845659</v>
      </c>
    </row>
    <row r="493" spans="1:7">
      <c r="A493" s="22">
        <v>0.14759999999999471</v>
      </c>
      <c r="B493" s="22">
        <v>-4.4647343934389643E-3</v>
      </c>
      <c r="C493" s="22">
        <v>2.6707056892118812</v>
      </c>
      <c r="D493" s="22">
        <v>82.385414365312172</v>
      </c>
      <c r="E493" s="22">
        <v>-18791184.932144906</v>
      </c>
      <c r="F493" s="22">
        <f>(E493/dane!$B$8)*dane!$L$31</f>
        <v>-114840.98448530845</v>
      </c>
      <c r="G493" s="22">
        <f xml:space="preserve"> B493*dane!$B$10</f>
        <v>-3.8843189222918988</v>
      </c>
    </row>
    <row r="494" spans="1:7">
      <c r="A494" s="22">
        <v>0.14789999999999481</v>
      </c>
      <c r="B494" s="22">
        <v>-3.6595373141923354E-3</v>
      </c>
      <c r="C494" s="22">
        <v>2.6953592903990771</v>
      </c>
      <c r="D494" s="22">
        <v>82.000917871924457</v>
      </c>
      <c r="E494" s="22">
        <v>-18703485.613416325</v>
      </c>
      <c r="F494" s="22">
        <f>(E494/dane!$B$8)*dane!$L$31</f>
        <v>-114305.01636313577</v>
      </c>
      <c r="G494" s="22">
        <f xml:space="preserve"> B494*dane!$B$10</f>
        <v>-3.1837974633473318</v>
      </c>
    </row>
    <row r="495" spans="1:7">
      <c r="A495" s="22">
        <v>0.14819999999999492</v>
      </c>
      <c r="B495" s="22">
        <v>-2.846962853685167E-3</v>
      </c>
      <c r="C495" s="22">
        <v>2.7198969725430464</v>
      </c>
      <c r="D495" s="22">
        <v>81.612894773390849</v>
      </c>
      <c r="E495" s="22">
        <v>-18614981.915781725</v>
      </c>
      <c r="F495" s="22">
        <f>(E495/dane!$B$8)*dane!$L$31</f>
        <v>-113764.13233673459</v>
      </c>
      <c r="G495" s="22">
        <f xml:space="preserve"> B495*dane!$B$10</f>
        <v>-2.4768576827060955</v>
      </c>
    </row>
    <row r="496" spans="1:7">
      <c r="A496" s="22">
        <v>0.14849999999999502</v>
      </c>
      <c r="B496" s="22">
        <v>-2.0270459582247447E-3</v>
      </c>
      <c r="C496" s="22">
        <v>2.7443176803541833</v>
      </c>
      <c r="D496" s="22">
        <v>81.221361757381359</v>
      </c>
      <c r="E496" s="22">
        <v>-18525677.645510644</v>
      </c>
      <c r="F496" s="22">
        <f>(E496/dane!$B$8)*dane!$L$31</f>
        <v>-113218.35566784933</v>
      </c>
      <c r="G496" s="22">
        <f xml:space="preserve"> B496*dane!$B$10</f>
        <v>-1.7635299836555278</v>
      </c>
    </row>
    <row r="497" spans="1:7">
      <c r="A497" s="22">
        <v>0.14879999999999513</v>
      </c>
      <c r="B497" s="22">
        <v>-1.1998218898937128E-3</v>
      </c>
      <c r="C497" s="22">
        <v>2.7686203635735889</v>
      </c>
      <c r="D497" s="22">
        <v>80.826335662516613</v>
      </c>
      <c r="E497" s="22">
        <v>-18435576.643302761</v>
      </c>
      <c r="F497" s="22">
        <f>(E497/dane!$B$8)*dane!$L$31</f>
        <v>-112667.70982864173</v>
      </c>
      <c r="G497" s="22">
        <f xml:space="preserve"> B497*dane!$B$10</f>
        <v>-1.04384504420753</v>
      </c>
    </row>
    <row r="498" spans="1:7">
      <c r="A498" s="22">
        <v>0.14909999999999524</v>
      </c>
      <c r="B498" s="22">
        <v>-3.6536464766227588E-4</v>
      </c>
      <c r="C498" s="22">
        <v>2.7917749961405853</v>
      </c>
      <c r="D498" s="22">
        <v>57.049414762967473</v>
      </c>
      <c r="E498" s="22">
        <v>-13012328.836849658</v>
      </c>
      <c r="F498" s="22">
        <f>(E498/dane!$B$8)*dane!$L$31</f>
        <v>-79523.9182343469</v>
      </c>
      <c r="G498" s="22">
        <f xml:space="preserve"> B498*dane!$B$10</f>
        <v>-0.31786724346618001</v>
      </c>
    </row>
    <row r="499" spans="1:7">
      <c r="A499" s="22">
        <v>0.14939999999999534</v>
      </c>
      <c r="B499" s="22">
        <v>4.7285888387419502E-4</v>
      </c>
      <c r="C499" s="22">
        <v>2.7909164079027726</v>
      </c>
      <c r="D499" s="22">
        <v>-54.217174242382058</v>
      </c>
      <c r="E499" s="22">
        <v>12366326.67973672</v>
      </c>
      <c r="F499" s="22">
        <f>(E499/dane!$B$8)*dane!$L$31</f>
        <v>75575.922194162413</v>
      </c>
      <c r="G499" s="22">
        <f xml:space="preserve"> B499*dane!$B$10</f>
        <v>0.41138722897054969</v>
      </c>
    </row>
    <row r="500" spans="1:7">
      <c r="A500" s="22">
        <v>0.14969999999999545</v>
      </c>
      <c r="B500" s="22">
        <v>1.3064140678118962E-3</v>
      </c>
      <c r="C500" s="22">
        <v>2.7673614870782894</v>
      </c>
      <c r="D500" s="22">
        <v>-80.816223629782158</v>
      </c>
      <c r="E500" s="22">
        <v>18433270.202549662</v>
      </c>
      <c r="F500" s="22">
        <f>(E500/dane!$B$8)*dane!$L$31</f>
        <v>112653.61418072494</v>
      </c>
      <c r="G500" s="22">
        <f xml:space="preserve"> B500*dane!$B$10</f>
        <v>1.1365802389963497</v>
      </c>
    </row>
    <row r="501" spans="1:7">
      <c r="A501" s="22">
        <v>0.14999999999999555</v>
      </c>
      <c r="B501" s="22">
        <v>2.1326986558847963E-3</v>
      </c>
      <c r="C501" s="22">
        <v>2.7430527074187792</v>
      </c>
      <c r="D501" s="22">
        <v>-81.211336848681611</v>
      </c>
      <c r="E501" s="22">
        <v>18523391.076768398</v>
      </c>
      <c r="F501" s="22">
        <f>(E501/dane!$B$8)*dane!$L$31</f>
        <v>113204.38146630744</v>
      </c>
      <c r="G501" s="22">
        <f xml:space="preserve"> B501*dane!$B$10</f>
        <v>1.8554478306197728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Wykresy</vt:lpstr>
      </vt:variant>
      <vt:variant>
        <vt:i4>4</vt:i4>
      </vt:variant>
    </vt:vector>
  </HeadingPairs>
  <TitlesOfParts>
    <vt:vector size="6" baseType="lpstr">
      <vt:lpstr>dane</vt:lpstr>
      <vt:lpstr>wyniki</vt:lpstr>
      <vt:lpstr>fi</vt:lpstr>
      <vt:lpstr>omega</vt:lpstr>
      <vt:lpstr>epsilon</vt:lpstr>
      <vt:lpstr>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bluemann</cp:lastModifiedBy>
  <cp:lastPrinted>2015-01-05T16:52:21Z</cp:lastPrinted>
  <dcterms:created xsi:type="dcterms:W3CDTF">2014-10-23T05:39:06Z</dcterms:created>
  <dcterms:modified xsi:type="dcterms:W3CDTF">2017-05-18T19:18:21Z</dcterms:modified>
</cp:coreProperties>
</file>