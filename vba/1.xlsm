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bluemann\Desktop\"/>
    </mc:Choice>
  </mc:AlternateContent>
  <bookViews>
    <workbookView xWindow="0" yWindow="0" windowWidth="23040" windowHeight="9090" tabRatio="704"/>
  </bookViews>
  <sheets>
    <sheet name="main" sheetId="1" r:id="rId1"/>
    <sheet name="Uk" sheetId="5" r:id="rId2"/>
    <sheet name="U_reszta" sheetId="6" r:id="rId3"/>
    <sheet name="Fe" sheetId="7" r:id="rId4"/>
    <sheet name="Fpk" sheetId="8" r:id="rId5"/>
    <sheet name="wyniki" sheetId="4" r:id="rId6"/>
    <sheet name="calc_C" sheetId="3" r:id="rId7"/>
    <sheet name="info" sheetId="2" r:id="rId8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7" i="1"/>
  <c r="G16" i="1"/>
  <c r="G15" i="1"/>
  <c r="G14" i="1"/>
  <c r="G13" i="1"/>
  <c r="G19" i="1" l="1"/>
  <c r="B20" i="1"/>
  <c r="B19" i="1"/>
  <c r="K13" i="1" l="1"/>
  <c r="K18" i="1" l="1"/>
  <c r="K17" i="1"/>
  <c r="K16" i="1"/>
  <c r="K14" i="1"/>
  <c r="K15" i="1"/>
  <c r="G10" i="1"/>
  <c r="G9" i="1"/>
  <c r="G4" i="1" s="1"/>
  <c r="G8" i="1"/>
  <c r="G7" i="1"/>
  <c r="G6" i="1"/>
  <c r="G5" i="1"/>
  <c r="G3" i="1"/>
  <c r="B10" i="1" l="1"/>
  <c r="B9" i="1"/>
  <c r="B8" i="1"/>
  <c r="B7" i="1"/>
  <c r="B6" i="1"/>
  <c r="B5" i="1"/>
  <c r="B4" i="1"/>
  <c r="B3" i="1"/>
  <c r="G23" i="1"/>
  <c r="G22" i="1" l="1"/>
  <c r="F36" i="3" l="1"/>
  <c r="I36" i="3" s="1"/>
  <c r="F32" i="3"/>
  <c r="I32" i="3" s="1"/>
  <c r="F35" i="3"/>
  <c r="I35" i="3" s="1"/>
  <c r="F34" i="3"/>
  <c r="I34" i="3" s="1"/>
  <c r="F33" i="3"/>
  <c r="I33" i="3" s="1"/>
  <c r="F27" i="3"/>
  <c r="I27" i="3" s="1"/>
  <c r="F26" i="3"/>
  <c r="I26" i="3" s="1"/>
  <c r="F25" i="3"/>
  <c r="I25" i="3" s="1"/>
  <c r="F24" i="3"/>
  <c r="I24" i="3" s="1"/>
  <c r="F19" i="3"/>
  <c r="I19" i="3" s="1"/>
  <c r="F18" i="3"/>
  <c r="I18" i="3" s="1"/>
  <c r="F15" i="3"/>
  <c r="I15" i="3" s="1"/>
  <c r="F11" i="3"/>
  <c r="I11" i="3" s="1"/>
  <c r="I37" i="3" l="1"/>
  <c r="I28" i="3"/>
  <c r="I20" i="3"/>
  <c r="F7" i="3"/>
  <c r="I7" i="3" s="1"/>
  <c r="F6" i="3"/>
  <c r="I6" i="3" s="1"/>
  <c r="I8" i="3" l="1"/>
  <c r="B15" i="1" l="1"/>
  <c r="K21" i="1" l="1"/>
  <c r="K26" i="1" s="1"/>
  <c r="K24" i="1" s="1"/>
</calcChain>
</file>

<file path=xl/sharedStrings.xml><?xml version="1.0" encoding="utf-8"?>
<sst xmlns="http://schemas.openxmlformats.org/spreadsheetml/2006/main" count="218" uniqueCount="135">
  <si>
    <t>r [mm]</t>
  </si>
  <si>
    <t>srednica kuli</t>
  </si>
  <si>
    <t>Caz</t>
  </si>
  <si>
    <t>sztywnosci</t>
  </si>
  <si>
    <t>zwora i adapter</t>
  </si>
  <si>
    <t>Cpa</t>
  </si>
  <si>
    <t>Cpp</t>
  </si>
  <si>
    <t>Czp</t>
  </si>
  <si>
    <t>Cpk</t>
  </si>
  <si>
    <t>Cak</t>
  </si>
  <si>
    <t>Cao</t>
  </si>
  <si>
    <t>Cg</t>
  </si>
  <si>
    <t>adapter i obudowa</t>
  </si>
  <si>
    <t>podloza</t>
  </si>
  <si>
    <t>masy wezlowe</t>
  </si>
  <si>
    <t>ma</t>
  </si>
  <si>
    <t>adaptera</t>
  </si>
  <si>
    <t>mp1</t>
  </si>
  <si>
    <t>mp2</t>
  </si>
  <si>
    <t>mo</t>
  </si>
  <si>
    <t>mk</t>
  </si>
  <si>
    <t>Tmin</t>
  </si>
  <si>
    <t>NDT</t>
  </si>
  <si>
    <t>N</t>
  </si>
  <si>
    <t>kN</t>
  </si>
  <si>
    <t xml:space="preserve">luzy </t>
  </si>
  <si>
    <t>luz popychacza</t>
  </si>
  <si>
    <t>luz adaptera</t>
  </si>
  <si>
    <t>Sa</t>
  </si>
  <si>
    <t>Sp</t>
  </si>
  <si>
    <t>inne parametry</t>
  </si>
  <si>
    <t>p</t>
  </si>
  <si>
    <t>Vk</t>
  </si>
  <si>
    <t>objętość kuliiętość kuli</t>
  </si>
  <si>
    <t>fik</t>
  </si>
  <si>
    <t>E</t>
  </si>
  <si>
    <t>moduł  Younga[GPa]</t>
  </si>
  <si>
    <t>mz</t>
  </si>
  <si>
    <t>mem</t>
  </si>
  <si>
    <t>m5</t>
  </si>
  <si>
    <t>sztywnosci elementow</t>
  </si>
  <si>
    <t>Ca</t>
  </si>
  <si>
    <t>Cz</t>
  </si>
  <si>
    <t>Cp1</t>
  </si>
  <si>
    <t>Cp2</t>
  </si>
  <si>
    <t>Ck</t>
  </si>
  <si>
    <t>Co</t>
  </si>
  <si>
    <t>obliczanie sztywnosci obudowy</t>
  </si>
  <si>
    <t>A1 [mm *mm]</t>
  </si>
  <si>
    <t>A2 [mm *mm]</t>
  </si>
  <si>
    <t>h1 [mm]</t>
  </si>
  <si>
    <t>h2 [mm]</t>
  </si>
  <si>
    <t>[N/(mm*mm)]</t>
  </si>
  <si>
    <t>C1 [N/(mm*mm)]</t>
  </si>
  <si>
    <t>Cz [N/(mm*mm)]</t>
  </si>
  <si>
    <t>okres drgan własnych elementow</t>
  </si>
  <si>
    <t>siły</t>
  </si>
  <si>
    <t>[N/m]</t>
  </si>
  <si>
    <t>obliczanie sztywnosci zwory</t>
  </si>
  <si>
    <t>obliczanie sztywnosci kuli</t>
  </si>
  <si>
    <t>obliczanie sztywnosci popychacza p1</t>
  </si>
  <si>
    <t>r1 [mm]</t>
  </si>
  <si>
    <t>l1 [mm]</t>
  </si>
  <si>
    <t>r2 [mm]</t>
  </si>
  <si>
    <t>obliczanie sztywnosci popychacza p2</t>
  </si>
  <si>
    <t>R1 [mm]</t>
  </si>
  <si>
    <t>R2 [mm]</t>
  </si>
  <si>
    <t>R3 [mm]</t>
  </si>
  <si>
    <t>R4 [mm]</t>
  </si>
  <si>
    <t>r4 [mm]</t>
  </si>
  <si>
    <t>r3 [mm]</t>
  </si>
  <si>
    <t>A [mm^2]</t>
  </si>
  <si>
    <t>C [N/mm]</t>
  </si>
  <si>
    <t>obliczanie sztywnosci adaptera</t>
  </si>
  <si>
    <t>r5 [mm]</t>
  </si>
  <si>
    <t>R5 [mm]</t>
  </si>
  <si>
    <t>A5 [mm *mm]</t>
  </si>
  <si>
    <t>h5 [mm]</t>
  </si>
  <si>
    <t>h4 [mm]</t>
  </si>
  <si>
    <t>h3 [mm]</t>
  </si>
  <si>
    <t>A3 [mm *mm]</t>
  </si>
  <si>
    <t>A4 [mm *mm]</t>
  </si>
  <si>
    <t>C2 [N/(mm*mm)]</t>
  </si>
  <si>
    <t>C3 [N/(mm*mm)]</t>
  </si>
  <si>
    <t>C4 [N/(mm*mm)]</t>
  </si>
  <si>
    <t>C5 [N/(mm*mm)]</t>
  </si>
  <si>
    <t xml:space="preserve">To </t>
  </si>
  <si>
    <t xml:space="preserve">Tz </t>
  </si>
  <si>
    <t>[s]</t>
  </si>
  <si>
    <t xml:space="preserve">Tp1 </t>
  </si>
  <si>
    <t xml:space="preserve">Tp2 </t>
  </si>
  <si>
    <t xml:space="preserve">Tk </t>
  </si>
  <si>
    <t xml:space="preserve">Ta </t>
  </si>
  <si>
    <t>Tg</t>
  </si>
  <si>
    <t>[N]</t>
  </si>
  <si>
    <t>Cmax = Cg</t>
  </si>
  <si>
    <t>adapter i kulka</t>
  </si>
  <si>
    <t>popychacz 1 i adapter</t>
  </si>
  <si>
    <t>popychacze 1 i 2</t>
  </si>
  <si>
    <t>zwora i popychacz 2</t>
  </si>
  <si>
    <t>popychacz 2 i kulka</t>
  </si>
  <si>
    <t>alfa [deg]</t>
  </si>
  <si>
    <t>odległość przekroju od srodka [mm]</t>
  </si>
  <si>
    <t>L długość przedziału [mm]</t>
  </si>
  <si>
    <t>1/C [N/mm]</t>
  </si>
  <si>
    <t>Cz kuli [N/mm]</t>
  </si>
  <si>
    <t xml:space="preserve">zwory </t>
  </si>
  <si>
    <t>popych</t>
  </si>
  <si>
    <t>obudowy</t>
  </si>
  <si>
    <t>kuli</t>
  </si>
  <si>
    <t xml:space="preserve">elektromagnesu </t>
  </si>
  <si>
    <t>elementu 5</t>
  </si>
  <si>
    <t>[g/cm3]</t>
  </si>
  <si>
    <t>[cm]</t>
  </si>
  <si>
    <t>[cm3]</t>
  </si>
  <si>
    <t>[Gpa]</t>
  </si>
  <si>
    <t>gestosc stali</t>
  </si>
  <si>
    <t xml:space="preserve">srednica kuli </t>
  </si>
  <si>
    <t>moduł  Younga</t>
  </si>
  <si>
    <t>[mm]</t>
  </si>
  <si>
    <t xml:space="preserve">r </t>
  </si>
  <si>
    <t xml:space="preserve">Fsp </t>
  </si>
  <si>
    <t>elektromagnesu</t>
  </si>
  <si>
    <t>t_sym</t>
  </si>
  <si>
    <t>dt</t>
  </si>
  <si>
    <t>parametry symulacji</t>
  </si>
  <si>
    <t>napiecia wstepnego</t>
  </si>
  <si>
    <t>popych 1</t>
  </si>
  <si>
    <t>Ckobl</t>
  </si>
  <si>
    <t>Ckins</t>
  </si>
  <si>
    <t>h</t>
  </si>
  <si>
    <t>wys wystrzelenie kulo</t>
  </si>
  <si>
    <t>FeMAX</t>
  </si>
  <si>
    <t>[Kg]</t>
  </si>
  <si>
    <t>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</si>
</sst>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zł&quot;_-;\-* #,##0.00\ &quot;zł&quot;_-;_-* &quot;-&quot;??\ &quot;zł&quot;_-;_-@_-"/>
    <numFmt numFmtId="43" formatCode="_-* #,##0.00\ _z_ł_-;\-* #,##0.00\ _z_ł_-;_-* &quot;-&quot;??\ _z_ł_-;_-@_-"/>
    <numFmt numFmtId="164" formatCode="0.000000000000"/>
    <numFmt numFmtId="165" formatCode="_-* #,##0.000000000\ _z_ł_-;\-* #,##0.000000000\ _z_ł_-;_-* &quot;-&quot;??\ _z_ł_-;_-@_-"/>
    <numFmt numFmtId="166" formatCode="_-* #,##0.000000000000000\ _z_ł_-;\-* #,##0.000000000000000\ _z_ł_-;_-* &quot;-&quot;??\ _z_ł_-;_-@_-"/>
  </numFmts>
  <fonts count="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9" tint="-0.249977111117893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Fill="1"/>
    <xf numFmtId="0" fontId="4" fillId="0" borderId="0" xfId="0" applyFont="1"/>
    <xf numFmtId="0" fontId="0" fillId="0" borderId="0" xfId="0"/>
    <xf numFmtId="1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4" fillId="2" borderId="1" xfId="0" applyFont="1" applyFill="1" applyBorder="1"/>
    <xf numFmtId="0" fontId="4" fillId="0" borderId="1" xfId="0" applyFont="1" applyFill="1" applyBorder="1"/>
    <xf numFmtId="43" fontId="0" fillId="2" borderId="1" xfId="1" applyFont="1" applyFill="1" applyBorder="1" applyAlignment="1">
      <alignment horizontal="right" vertical="center"/>
    </xf>
    <xf numFmtId="0" fontId="1" fillId="0" borderId="1" xfId="0" applyFont="1" applyBorder="1"/>
    <xf numFmtId="1" fontId="0" fillId="0" borderId="1" xfId="0" applyNumberFormat="1" applyBorder="1"/>
    <xf numFmtId="1" fontId="0" fillId="0" borderId="1" xfId="2" applyNumberFormat="1" applyFont="1" applyBorder="1"/>
    <xf numFmtId="164" fontId="0" fillId="0" borderId="1" xfId="0" applyNumberFormat="1" applyBorder="1"/>
    <xf numFmtId="0" fontId="0" fillId="0" borderId="0" xfId="0" applyAlignment="1">
      <alignment horizontal="right"/>
    </xf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1" fontId="0" fillId="2" borderId="1" xfId="0" applyNumberFormat="1" applyFill="1" applyBorder="1"/>
    <xf numFmtId="0" fontId="0" fillId="0" borderId="1" xfId="0" applyBorder="1" applyAlignment="1">
      <alignment horizontal="right"/>
    </xf>
    <xf numFmtId="165" fontId="0" fillId="0" borderId="1" xfId="1" applyNumberFormat="1" applyFont="1" applyBorder="1"/>
    <xf numFmtId="0" fontId="0" fillId="0" borderId="1" xfId="0" applyFill="1" applyBorder="1" applyAlignment="1">
      <alignment horizontal="right"/>
    </xf>
    <xf numFmtId="0" fontId="0" fillId="0" borderId="1" xfId="0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166" fontId="0" fillId="0" borderId="0" xfId="1" applyNumberFormat="1" applyFont="1"/>
    <xf numFmtId="166" fontId="0" fillId="0" borderId="1" xfId="1" applyNumberFormat="1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3">
    <cellStyle name="Dziesiętny" xfId="1" builtinId="3"/>
    <cellStyle name="Normalny" xfId="0" builtinId="0"/>
    <cellStyle name="Walutowy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4.xml"/><Relationship Id="rId10" Type="http://schemas.openxmlformats.org/officeDocument/2006/relationships/styles" Target="styles.xml"/><Relationship Id="rId4" Type="http://schemas.openxmlformats.org/officeDocument/2006/relationships/chartsheet" Target="chart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18029321270609E-2"/>
          <c:y val="0.10733698924710464"/>
          <c:w val="0.90369630302650483"/>
          <c:h val="0.8528972410118762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wyniki!$A$4:$A$70603</c:f>
              <c:numCache>
                <c:formatCode>_-* #\ ##0.000000000000000\ _z_ł_-;\-* #\ ##0.000000000000000\ _z_ł_-;_-* "-"??\ _z_ł_-;_-@_-</c:formatCode>
                <c:ptCount val="70600"/>
              </c:numCache>
            </c:numRef>
          </c:xVal>
          <c:yVal>
            <c:numRef>
              <c:f>wyniki!$G$4:$G$70603</c:f>
              <c:numCache>
                <c:formatCode>General</c:formatCode>
                <c:ptCount val="706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472-49D3-A290-5F1AC77C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73136"/>
        <c:axId val="230158944"/>
      </c:scatterChart>
      <c:valAx>
        <c:axId val="22487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30158944"/>
        <c:crosses val="autoZero"/>
        <c:crossBetween val="midCat"/>
        <c:majorUnit val="2.5000000000000005E-2"/>
      </c:valAx>
      <c:valAx>
        <c:axId val="2301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2487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wyniki!$B$1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wyniki!$A$2:$A$3701</c:f>
              <c:numCache>
                <c:formatCode>_-* #\ ##0.000000000000000\ _z_ł_-;\-* #\ ##0.000000000000000\ _z_ł_-;_-* "-"??\ _z_ł_-;_-@_-</c:formatCode>
                <c:ptCount val="3700"/>
              </c:numCache>
            </c:numRef>
          </c:xVal>
          <c:yVal>
            <c:numRef>
              <c:f>wyniki!$B$2:$B$3701</c:f>
              <c:numCache>
                <c:formatCode>General</c:formatCode>
                <c:ptCount val="37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95-40F5-BFC5-FB6A520AFF69}"/>
            </c:ext>
          </c:extLst>
        </c:ser>
        <c:ser>
          <c:idx val="1"/>
          <c:order val="1"/>
          <c:tx>
            <c:strRef>
              <c:f>wyniki!$C$1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wyniki!$A$2:$A$3701</c:f>
              <c:numCache>
                <c:formatCode>_-* #\ ##0.000000000000000\ _z_ł_-;\-* #\ ##0.000000000000000\ _z_ł_-;_-* "-"??\ _z_ł_-;_-@_-</c:formatCode>
                <c:ptCount val="3700"/>
              </c:numCache>
            </c:numRef>
          </c:xVal>
          <c:yVal>
            <c:numRef>
              <c:f>wyniki!$C$2:$C$3701</c:f>
              <c:numCache>
                <c:formatCode>General</c:formatCode>
                <c:ptCount val="37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95-40F5-BFC5-FB6A520AFF69}"/>
            </c:ext>
          </c:extLst>
        </c:ser>
        <c:ser>
          <c:idx val="2"/>
          <c:order val="2"/>
          <c:tx>
            <c:strRef>
              <c:f>wyniki!$D$1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wyniki!$A$2:$A$3701</c:f>
              <c:numCache>
                <c:formatCode>_-* #\ ##0.000000000000000\ _z_ł_-;\-* #\ ##0.000000000000000\ _z_ł_-;_-* "-"??\ _z_ł_-;_-@_-</c:formatCode>
                <c:ptCount val="3700"/>
              </c:numCache>
            </c:numRef>
          </c:xVal>
          <c:yVal>
            <c:numRef>
              <c:f>wyniki!$D$2:$D$3701</c:f>
              <c:numCache>
                <c:formatCode>General</c:formatCode>
                <c:ptCount val="37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E95-40F5-BFC5-FB6A520AFF69}"/>
            </c:ext>
          </c:extLst>
        </c:ser>
        <c:ser>
          <c:idx val="3"/>
          <c:order val="3"/>
          <c:tx>
            <c:strRef>
              <c:f>wyniki!$E$1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wyniki!$A$2:$A$3701</c:f>
              <c:numCache>
                <c:formatCode>_-* #\ ##0.000000000000000\ _z_ł_-;\-* #\ ##0.000000000000000\ _z_ł_-;_-* "-"??\ _z_ł_-;_-@_-</c:formatCode>
                <c:ptCount val="3700"/>
              </c:numCache>
            </c:numRef>
          </c:xVal>
          <c:yVal>
            <c:numRef>
              <c:f>wyniki!$E$2:$E$3701</c:f>
              <c:numCache>
                <c:formatCode>General</c:formatCode>
                <c:ptCount val="37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E95-40F5-BFC5-FB6A520AFF69}"/>
            </c:ext>
          </c:extLst>
        </c:ser>
        <c:ser>
          <c:idx val="4"/>
          <c:order val="4"/>
          <c:tx>
            <c:strRef>
              <c:f>wyniki!$F$1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wyniki!$A$2:$A$3701</c:f>
              <c:numCache>
                <c:formatCode>_-* #\ ##0.000000000000000\ _z_ł_-;\-* #\ ##0.000000000000000\ _z_ł_-;_-* "-"??\ _z_ł_-;_-@_-</c:formatCode>
                <c:ptCount val="3700"/>
              </c:numCache>
            </c:numRef>
          </c:xVal>
          <c:yVal>
            <c:numRef>
              <c:f>wyniki!$F$2:$F$3701</c:f>
              <c:numCache>
                <c:formatCode>General</c:formatCode>
                <c:ptCount val="37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E95-40F5-BFC5-FB6A520A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63424"/>
        <c:axId val="230163984"/>
      </c:scatterChart>
      <c:valAx>
        <c:axId val="23016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30163984"/>
        <c:crosses val="autoZero"/>
        <c:crossBetween val="midCat"/>
      </c:valAx>
      <c:valAx>
        <c:axId val="23016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30163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wyniki!$H$1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wyniki!$A$2:$A$3701</c:f>
              <c:numCache>
                <c:formatCode>_-* #\ ##0.000000000000000\ _z_ł_-;\-* #\ ##0.000000000000000\ _z_ł_-;_-* "-"??\ _z_ł_-;_-@_-</c:formatCode>
                <c:ptCount val="3700"/>
              </c:numCache>
            </c:numRef>
          </c:xVal>
          <c:yVal>
            <c:numRef>
              <c:f>wyniki!$H$2:$H$3701</c:f>
              <c:numCache>
                <c:formatCode>General</c:formatCode>
                <c:ptCount val="37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0A-4DCD-B39F-094979968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12320"/>
        <c:axId val="233312880"/>
      </c:scatterChart>
      <c:valAx>
        <c:axId val="23331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33312880"/>
        <c:crosses val="autoZero"/>
        <c:crossBetween val="midCat"/>
      </c:valAx>
      <c:valAx>
        <c:axId val="23331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3331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wyniki!$J$1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wyniki!$A$2:$A$3701</c:f>
              <c:numCache>
                <c:formatCode>_-* #\ ##0.000000000000000\ _z_ł_-;\-* #\ ##0.000000000000000\ _z_ł_-;_-* "-"??\ _z_ł_-;_-@_-</c:formatCode>
                <c:ptCount val="3700"/>
              </c:numCache>
            </c:numRef>
          </c:xVal>
          <c:yVal>
            <c:numRef>
              <c:f>wyniki!$J$2:$J$3701</c:f>
              <c:numCache>
                <c:formatCode>General</c:formatCode>
                <c:ptCount val="37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7E-4971-8805-83E234202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15120"/>
        <c:axId val="233315680"/>
      </c:scatterChart>
      <c:valAx>
        <c:axId val="23331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33315680"/>
        <c:crosses val="autoZero"/>
        <c:crossBetween val="midCat"/>
      </c:valAx>
      <c:valAx>
        <c:axId val="23331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3331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Wykres1"/>
  <sheetViews>
    <sheetView zoomScale="7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Wykres2"/>
  <sheetViews>
    <sheetView zoomScale="7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Wykres3"/>
  <sheetViews>
    <sheetView zoomScale="7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Wykres4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24</xdr:row>
      <xdr:rowOff>0</xdr:rowOff>
    </xdr:from>
    <xdr:to>
      <xdr:col>8</xdr:col>
      <xdr:colOff>381000</xdr:colOff>
      <xdr:row>27</xdr:row>
      <xdr:rowOff>171450</xdr:rowOff>
    </xdr:to>
    <xdr:sp macro="[0]!main_calc" textlink="">
      <xdr:nvSpPr>
        <xdr:cNvPr id="3" name="Prostokąt zaokrąglony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5067300" y="4572000"/>
          <a:ext cx="1762125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/>
          </a:r>
          <a:b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pl-PL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     </a:t>
          </a:r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SYMULACJA</a:t>
          </a:r>
          <a:r>
            <a:rPr lang="pl-PL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START</a:t>
          </a:r>
          <a:endParaRPr lang="pl-PL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12</xdr:col>
      <xdr:colOff>114300</xdr:colOff>
      <xdr:row>0</xdr:row>
      <xdr:rowOff>0</xdr:rowOff>
    </xdr:from>
    <xdr:to>
      <xdr:col>15</xdr:col>
      <xdr:colOff>504825</xdr:colOff>
      <xdr:row>25</xdr:row>
      <xdr:rowOff>57150</xdr:rowOff>
    </xdr:to>
    <xdr:pic>
      <xdr:nvPicPr>
        <xdr:cNvPr id="4" name="Obraz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82125" y="0"/>
          <a:ext cx="2943225" cy="481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Wykres 1">
          <a:extLst>
            <a:ext uri="{FF2B5EF4-FFF2-40B4-BE49-F238E27FC236}">
              <a16:creationId xmlns="" xmlns:a16="http://schemas.microsoft.com/office/drawing/2014/main" id="{3098B2BC-96ED-433C-881C-7C2DB4C54E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Wykres 1">
          <a:extLst>
            <a:ext uri="{FF2B5EF4-FFF2-40B4-BE49-F238E27FC236}">
              <a16:creationId xmlns="" xmlns:a16="http://schemas.microsoft.com/office/drawing/2014/main" id="{C4F3AC8E-B486-4F26-8E80-BB8BFFB985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Wykres 1">
          <a:extLst>
            <a:ext uri="{FF2B5EF4-FFF2-40B4-BE49-F238E27FC236}">
              <a16:creationId xmlns="" xmlns:a16="http://schemas.microsoft.com/office/drawing/2014/main" id="{214FC1BD-C087-4D79-B90E-FA0E4AF9CE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Wykres 1">
          <a:extLst>
            <a:ext uri="{FF2B5EF4-FFF2-40B4-BE49-F238E27FC236}">
              <a16:creationId xmlns="" xmlns:a16="http://schemas.microsoft.com/office/drawing/2014/main" id="{6DC66E5B-B030-46C1-B753-CA0C994EA6D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2:T29"/>
  <sheetViews>
    <sheetView tabSelected="1" topLeftCell="A10" zoomScaleNormal="100" workbookViewId="0">
      <selection activeCell="K26" sqref="K26"/>
    </sheetView>
  </sheetViews>
  <sheetFormatPr defaultRowHeight="15" x14ac:dyDescent="0.25"/>
  <cols>
    <col min="2" max="2" width="12" bestFit="1" customWidth="1"/>
    <col min="3" max="3" width="23.85546875" customWidth="1"/>
    <col min="7" max="7" width="14.7109375" customWidth="1"/>
    <col min="8" max="8" width="9.5703125" customWidth="1"/>
    <col min="9" max="9" width="8.7109375" customWidth="1"/>
    <col min="11" max="11" width="16.5703125" bestFit="1" customWidth="1"/>
    <col min="12" max="12" width="9.85546875" bestFit="1" customWidth="1"/>
    <col min="13" max="13" width="17.140625" customWidth="1"/>
    <col min="15" max="15" width="12" bestFit="1" customWidth="1"/>
  </cols>
  <sheetData>
    <row r="2" spans="1:20" x14ac:dyDescent="0.25">
      <c r="A2" s="35" t="s">
        <v>3</v>
      </c>
      <c r="B2" s="36"/>
      <c r="C2" s="36"/>
      <c r="D2" s="37"/>
      <c r="F2" s="34" t="s">
        <v>14</v>
      </c>
      <c r="G2" s="34"/>
      <c r="H2" s="34"/>
      <c r="I2" s="34"/>
    </row>
    <row r="3" spans="1:20" x14ac:dyDescent="0.25">
      <c r="A3" s="9" t="s">
        <v>2</v>
      </c>
      <c r="B3" s="16">
        <f xml:space="preserve"> (G14*G18)/(G14+G18)</f>
        <v>356412967.50043553</v>
      </c>
      <c r="C3" s="9" t="s">
        <v>4</v>
      </c>
      <c r="D3" s="28" t="s">
        <v>57</v>
      </c>
      <c r="F3" s="23" t="s">
        <v>37</v>
      </c>
      <c r="G3" s="23">
        <f>170/1000</f>
        <v>0.17</v>
      </c>
      <c r="H3" s="23" t="s">
        <v>106</v>
      </c>
      <c r="I3" s="26" t="s">
        <v>133</v>
      </c>
    </row>
    <row r="4" spans="1:20" x14ac:dyDescent="0.25">
      <c r="A4" s="9" t="s">
        <v>5</v>
      </c>
      <c r="B4" s="16">
        <f xml:space="preserve"> (G18*G15)/(G18+G15)</f>
        <v>197788490.70679414</v>
      </c>
      <c r="C4" s="9" t="s">
        <v>97</v>
      </c>
      <c r="D4" s="28" t="s">
        <v>57</v>
      </c>
      <c r="F4" s="23" t="s">
        <v>15</v>
      </c>
      <c r="G4" s="23">
        <f>(G9+G10-G3)/1000</f>
        <v>2.9199999999999999E-3</v>
      </c>
      <c r="H4" s="23" t="s">
        <v>16</v>
      </c>
      <c r="I4" s="26" t="s">
        <v>133</v>
      </c>
    </row>
    <row r="5" spans="1:20" x14ac:dyDescent="0.25">
      <c r="A5" s="9" t="s">
        <v>6</v>
      </c>
      <c r="B5" s="16">
        <f xml:space="preserve"> (G15*G16)/(G15+G16)</f>
        <v>104991285.08011059</v>
      </c>
      <c r="C5" s="9" t="s">
        <v>98</v>
      </c>
      <c r="D5" s="28" t="s">
        <v>57</v>
      </c>
      <c r="F5" s="23" t="s">
        <v>17</v>
      </c>
      <c r="G5" s="23">
        <f>42/1000</f>
        <v>4.2000000000000003E-2</v>
      </c>
      <c r="H5" s="23" t="s">
        <v>127</v>
      </c>
      <c r="I5" s="26" t="s">
        <v>133</v>
      </c>
    </row>
    <row r="6" spans="1:20" x14ac:dyDescent="0.25">
      <c r="A6" s="9" t="s">
        <v>7</v>
      </c>
      <c r="B6" s="16">
        <f xml:space="preserve"> (G14*G16)/(G14+G16)</f>
        <v>137467849.41598955</v>
      </c>
      <c r="C6" s="9" t="s">
        <v>99</v>
      </c>
      <c r="D6" s="28" t="s">
        <v>57</v>
      </c>
      <c r="F6" s="23" t="s">
        <v>18</v>
      </c>
      <c r="G6" s="23">
        <f>15/1000</f>
        <v>1.4999999999999999E-2</v>
      </c>
      <c r="H6" s="23" t="s">
        <v>107</v>
      </c>
      <c r="I6" s="26" t="s">
        <v>133</v>
      </c>
      <c r="R6" s="1"/>
    </row>
    <row r="7" spans="1:20" x14ac:dyDescent="0.25">
      <c r="A7" s="9" t="s">
        <v>8</v>
      </c>
      <c r="B7" s="16">
        <f xml:space="preserve"> (G17*G16)/(G17+G16)</f>
        <v>3377642.7393240691</v>
      </c>
      <c r="C7" s="9" t="s">
        <v>100</v>
      </c>
      <c r="D7" s="28" t="s">
        <v>57</v>
      </c>
      <c r="F7" s="23" t="s">
        <v>19</v>
      </c>
      <c r="G7" s="23">
        <f>2292/1000</f>
        <v>2.2919999999999998</v>
      </c>
      <c r="H7" s="23" t="s">
        <v>108</v>
      </c>
      <c r="I7" s="26" t="s">
        <v>133</v>
      </c>
      <c r="R7" s="1"/>
    </row>
    <row r="8" spans="1:20" x14ac:dyDescent="0.25">
      <c r="A8" s="9" t="s">
        <v>9</v>
      </c>
      <c r="B8" s="16">
        <f xml:space="preserve"> (G17*G18)/(G17+G18)</f>
        <v>3429404.9858760908</v>
      </c>
      <c r="C8" s="9" t="s">
        <v>96</v>
      </c>
      <c r="D8" s="28" t="s">
        <v>57</v>
      </c>
      <c r="F8" s="23" t="s">
        <v>20</v>
      </c>
      <c r="G8" s="23">
        <f>(B15*B13)/1000</f>
        <v>13.882725000000001</v>
      </c>
      <c r="H8" s="23" t="s">
        <v>109</v>
      </c>
      <c r="I8" s="26" t="s">
        <v>133</v>
      </c>
    </row>
    <row r="9" spans="1:20" x14ac:dyDescent="0.25">
      <c r="A9" s="9" t="s">
        <v>10</v>
      </c>
      <c r="B9" s="16">
        <f xml:space="preserve"> (G13*G18)/(G13+G18)</f>
        <v>1378816711.4761817</v>
      </c>
      <c r="C9" s="9" t="s">
        <v>12</v>
      </c>
      <c r="D9" s="28" t="s">
        <v>57</v>
      </c>
      <c r="F9" s="23" t="s">
        <v>38</v>
      </c>
      <c r="G9" s="23">
        <f>1500/1000</f>
        <v>1.5</v>
      </c>
      <c r="H9" s="23" t="s">
        <v>110</v>
      </c>
      <c r="I9" s="26" t="s">
        <v>133</v>
      </c>
    </row>
    <row r="10" spans="1:20" x14ac:dyDescent="0.25">
      <c r="A10" s="9" t="s">
        <v>11</v>
      </c>
      <c r="B10" s="16">
        <f xml:space="preserve"> 1000</f>
        <v>1000</v>
      </c>
      <c r="C10" s="9" t="s">
        <v>13</v>
      </c>
      <c r="D10" s="28" t="s">
        <v>57</v>
      </c>
      <c r="F10" s="23" t="s">
        <v>39</v>
      </c>
      <c r="G10" s="23">
        <f>1590/1000</f>
        <v>1.59</v>
      </c>
      <c r="H10" s="23" t="s">
        <v>111</v>
      </c>
      <c r="I10" s="26" t="s">
        <v>133</v>
      </c>
    </row>
    <row r="11" spans="1:20" s="2" customFormat="1" x14ac:dyDescent="0.25"/>
    <row r="12" spans="1:20" x14ac:dyDescent="0.25">
      <c r="A12" s="35" t="s">
        <v>30</v>
      </c>
      <c r="B12" s="36"/>
      <c r="C12" s="36"/>
      <c r="D12" s="37"/>
      <c r="F12" s="35" t="s">
        <v>40</v>
      </c>
      <c r="G12" s="36"/>
      <c r="H12" s="37"/>
      <c r="I12" s="20"/>
      <c r="J12" s="35" t="s">
        <v>55</v>
      </c>
      <c r="K12" s="36"/>
      <c r="L12" s="37"/>
      <c r="M12" s="20"/>
      <c r="T12" s="20"/>
    </row>
    <row r="13" spans="1:20" x14ac:dyDescent="0.25">
      <c r="A13" s="23" t="s">
        <v>31</v>
      </c>
      <c r="B13" s="23">
        <v>7.86</v>
      </c>
      <c r="C13" s="23" t="s">
        <v>116</v>
      </c>
      <c r="D13" s="29" t="s">
        <v>112</v>
      </c>
      <c r="F13" s="23" t="s">
        <v>46</v>
      </c>
      <c r="G13" s="16">
        <f xml:space="preserve"> calc_C!I8*1000</f>
        <v>1940049404.7218504</v>
      </c>
      <c r="H13" s="28" t="s">
        <v>57</v>
      </c>
      <c r="I13" s="20"/>
      <c r="J13" s="23" t="s">
        <v>86</v>
      </c>
      <c r="K13" s="18">
        <f xml:space="preserve"> 2* PI()*  SQRT((G7)/ G13)</f>
        <v>2.159637103165314E-4</v>
      </c>
      <c r="L13" s="26" t="s">
        <v>88</v>
      </c>
      <c r="M13" s="20"/>
      <c r="T13" s="20"/>
    </row>
    <row r="14" spans="1:20" x14ac:dyDescent="0.25">
      <c r="A14" s="23" t="s">
        <v>34</v>
      </c>
      <c r="B14" s="23">
        <v>15</v>
      </c>
      <c r="C14" s="23" t="s">
        <v>117</v>
      </c>
      <c r="D14" s="29" t="s">
        <v>113</v>
      </c>
      <c r="F14" s="23" t="s">
        <v>42</v>
      </c>
      <c r="G14" s="16">
        <f xml:space="preserve">  calc_C!I11*1000</f>
        <v>385219099.19017702</v>
      </c>
      <c r="H14" s="28" t="s">
        <v>57</v>
      </c>
      <c r="I14" s="20"/>
      <c r="J14" s="23" t="s">
        <v>87</v>
      </c>
      <c r="K14" s="18">
        <f xml:space="preserve"> 2* PI()*  SQRT((G3)/ G14)</f>
        <v>1.3199285519537078E-4</v>
      </c>
      <c r="L14" s="26" t="s">
        <v>88</v>
      </c>
      <c r="M14" s="20"/>
      <c r="T14" s="20"/>
    </row>
    <row r="15" spans="1:20" x14ac:dyDescent="0.25">
      <c r="A15" s="23" t="s">
        <v>32</v>
      </c>
      <c r="B15" s="23">
        <f>((4/3)*3.14*((B14/2)^3))</f>
        <v>1766.25</v>
      </c>
      <c r="C15" s="23" t="s">
        <v>33</v>
      </c>
      <c r="D15" s="29" t="s">
        <v>114</v>
      </c>
      <c r="F15" s="23" t="s">
        <v>43</v>
      </c>
      <c r="G15" s="17">
        <f>calc_C!I28*1000</f>
        <v>206351620.64712021</v>
      </c>
      <c r="H15" s="28" t="s">
        <v>57</v>
      </c>
      <c r="I15" s="20"/>
      <c r="J15" s="23" t="s">
        <v>89</v>
      </c>
      <c r="K15" s="18">
        <f xml:space="preserve"> 2* PI()*  SQRT((G5)/ G15)</f>
        <v>8.9639736556312171E-5</v>
      </c>
      <c r="L15" s="26" t="s">
        <v>88</v>
      </c>
      <c r="M15" s="20"/>
      <c r="T15" s="20"/>
    </row>
    <row r="16" spans="1:20" x14ac:dyDescent="0.25">
      <c r="A16" s="23" t="s">
        <v>35</v>
      </c>
      <c r="B16" s="23">
        <v>206</v>
      </c>
      <c r="C16" s="23" t="s">
        <v>118</v>
      </c>
      <c r="D16" s="29" t="s">
        <v>115</v>
      </c>
      <c r="F16" s="23" t="s">
        <v>44</v>
      </c>
      <c r="G16" s="16">
        <f xml:space="preserve"> calc_C!I20*1000</f>
        <v>213743588.24790743</v>
      </c>
      <c r="H16" s="28" t="s">
        <v>57</v>
      </c>
      <c r="I16" s="20"/>
      <c r="J16" s="23" t="s">
        <v>90</v>
      </c>
      <c r="K16" s="18">
        <f xml:space="preserve"> 2* PI()*  SQRT((G6)/ G16)</f>
        <v>5.2635523895355795E-5</v>
      </c>
      <c r="L16" s="26" t="s">
        <v>88</v>
      </c>
      <c r="M16" s="20"/>
      <c r="T16" s="20"/>
    </row>
    <row r="17" spans="1:15" x14ac:dyDescent="0.25">
      <c r="A17" s="23" t="s">
        <v>120</v>
      </c>
      <c r="B17" s="23">
        <v>150</v>
      </c>
      <c r="C17" s="23" t="s">
        <v>1</v>
      </c>
      <c r="D17" s="30" t="s">
        <v>119</v>
      </c>
      <c r="F17" s="9" t="s">
        <v>45</v>
      </c>
      <c r="G17" s="16">
        <f>G23*1000</f>
        <v>3431874.2854373301</v>
      </c>
      <c r="H17" s="28" t="s">
        <v>57</v>
      </c>
      <c r="J17" s="9" t="s">
        <v>91</v>
      </c>
      <c r="K17" s="18">
        <f xml:space="preserve"> 2* PI()*  SQRT((G8)/ G17)</f>
        <v>1.2637219922903264E-2</v>
      </c>
      <c r="L17" s="26" t="s">
        <v>88</v>
      </c>
    </row>
    <row r="18" spans="1:15" x14ac:dyDescent="0.25">
      <c r="A18" s="34" t="s">
        <v>25</v>
      </c>
      <c r="B18" s="34"/>
      <c r="C18" s="34"/>
      <c r="D18" s="34"/>
      <c r="F18" s="9" t="s">
        <v>41</v>
      </c>
      <c r="G18" s="16">
        <f xml:space="preserve"> calc_C!I37*1000</f>
        <v>4766245039.7361116</v>
      </c>
      <c r="H18" s="28" t="s">
        <v>57</v>
      </c>
      <c r="J18" s="9" t="s">
        <v>92</v>
      </c>
      <c r="K18" s="18">
        <f xml:space="preserve"> 2* PI()*  SQRT((G4)/ G18)</f>
        <v>4.9179386975798305E-6</v>
      </c>
      <c r="L18" s="26" t="s">
        <v>88</v>
      </c>
    </row>
    <row r="19" spans="1:15" x14ac:dyDescent="0.25">
      <c r="A19" s="23" t="s">
        <v>29</v>
      </c>
      <c r="B19" s="23">
        <f>2.5/1000</f>
        <v>2.5000000000000001E-3</v>
      </c>
      <c r="C19" s="23" t="s">
        <v>26</v>
      </c>
      <c r="D19" s="28" t="s">
        <v>134</v>
      </c>
      <c r="F19" s="9" t="s">
        <v>95</v>
      </c>
      <c r="G19" s="16">
        <f xml:space="preserve">   MAX(G13:G18)/10</f>
        <v>476624503.97361118</v>
      </c>
      <c r="H19" s="28" t="s">
        <v>57</v>
      </c>
      <c r="J19" s="9" t="s">
        <v>93</v>
      </c>
      <c r="K19" s="18"/>
      <c r="L19" s="26" t="s">
        <v>88</v>
      </c>
    </row>
    <row r="20" spans="1:15" x14ac:dyDescent="0.25">
      <c r="A20" s="23" t="s">
        <v>28</v>
      </c>
      <c r="B20" s="23">
        <f>4/1000</f>
        <v>4.0000000000000001E-3</v>
      </c>
      <c r="C20" s="23" t="s">
        <v>27</v>
      </c>
      <c r="D20" s="28" t="s">
        <v>134</v>
      </c>
      <c r="H20" s="19"/>
      <c r="L20" s="19"/>
    </row>
    <row r="21" spans="1:15" x14ac:dyDescent="0.25">
      <c r="G21" s="6"/>
      <c r="H21" s="19"/>
      <c r="J21" s="9" t="s">
        <v>21</v>
      </c>
      <c r="K21" s="18">
        <f xml:space="preserve"> MIN(K13:K19)</f>
        <v>4.9179386975798305E-6</v>
      </c>
      <c r="L21" s="26" t="s">
        <v>88</v>
      </c>
    </row>
    <row r="22" spans="1:15" x14ac:dyDescent="0.25">
      <c r="A22" s="35" t="s">
        <v>56</v>
      </c>
      <c r="B22" s="36"/>
      <c r="C22" s="36"/>
      <c r="D22" s="37"/>
      <c r="F22" s="23" t="s">
        <v>129</v>
      </c>
      <c r="G22" s="23">
        <f>50</f>
        <v>50</v>
      </c>
      <c r="H22" s="26" t="s">
        <v>57</v>
      </c>
    </row>
    <row r="23" spans="1:15" x14ac:dyDescent="0.25">
      <c r="A23" s="23" t="s">
        <v>121</v>
      </c>
      <c r="B23" s="23">
        <v>2</v>
      </c>
      <c r="C23" s="23" t="s">
        <v>126</v>
      </c>
      <c r="D23" s="26" t="s">
        <v>94</v>
      </c>
      <c r="F23" s="23" t="s">
        <v>128</v>
      </c>
      <c r="G23" s="16">
        <f xml:space="preserve"> calc_C!J41/1000</f>
        <v>3431.8742854373299</v>
      </c>
      <c r="H23" s="26" t="s">
        <v>57</v>
      </c>
      <c r="J23" s="34" t="s">
        <v>125</v>
      </c>
      <c r="K23" s="34"/>
      <c r="L23" s="34"/>
      <c r="M23" s="20"/>
      <c r="N23" s="20"/>
      <c r="O23" s="20"/>
    </row>
    <row r="24" spans="1:15" x14ac:dyDescent="0.25">
      <c r="A24" s="23" t="s">
        <v>132</v>
      </c>
      <c r="B24" s="23">
        <v>340</v>
      </c>
      <c r="C24" s="23" t="s">
        <v>122</v>
      </c>
      <c r="D24" s="26" t="s">
        <v>94</v>
      </c>
      <c r="J24" s="23" t="s">
        <v>124</v>
      </c>
      <c r="K24" s="27">
        <f xml:space="preserve"> K28/K25/K26</f>
        <v>4.9176297024834028E-8</v>
      </c>
      <c r="L24" s="31" t="s">
        <v>88</v>
      </c>
      <c r="M24" s="20"/>
      <c r="N24" s="20"/>
      <c r="O24" s="20"/>
    </row>
    <row r="25" spans="1:15" x14ac:dyDescent="0.25">
      <c r="A25" s="11" t="s">
        <v>130</v>
      </c>
      <c r="B25" s="11">
        <v>8</v>
      </c>
      <c r="C25" s="11" t="s">
        <v>131</v>
      </c>
      <c r="D25" s="28" t="s">
        <v>119</v>
      </c>
      <c r="J25" s="23" t="s">
        <v>23</v>
      </c>
      <c r="K25" s="23">
        <v>100</v>
      </c>
      <c r="L25" s="31"/>
      <c r="M25" s="20"/>
      <c r="N25" s="20"/>
      <c r="O25" s="20"/>
    </row>
    <row r="26" spans="1:15" x14ac:dyDescent="0.25">
      <c r="J26" s="23" t="s">
        <v>24</v>
      </c>
      <c r="K26" s="23">
        <f xml:space="preserve"> CEILING(K28*K27/K21/K25,1)</f>
        <v>12201</v>
      </c>
      <c r="L26" s="31"/>
      <c r="M26" s="20"/>
      <c r="N26" s="20"/>
      <c r="O26" s="20"/>
    </row>
    <row r="27" spans="1:15" x14ac:dyDescent="0.25">
      <c r="J27" s="23" t="s">
        <v>22</v>
      </c>
      <c r="K27" s="23">
        <v>100</v>
      </c>
      <c r="L27" s="31"/>
      <c r="M27" s="21"/>
      <c r="N27" s="20"/>
      <c r="O27" s="20"/>
    </row>
    <row r="28" spans="1:15" x14ac:dyDescent="0.25">
      <c r="J28" s="23" t="s">
        <v>123</v>
      </c>
      <c r="K28" s="23">
        <v>0.06</v>
      </c>
      <c r="L28" s="31" t="s">
        <v>88</v>
      </c>
      <c r="M28" s="1"/>
    </row>
    <row r="29" spans="1:15" x14ac:dyDescent="0.25">
      <c r="L29" s="4"/>
    </row>
  </sheetData>
  <mergeCells count="8">
    <mergeCell ref="J23:L23"/>
    <mergeCell ref="A18:D18"/>
    <mergeCell ref="A22:D22"/>
    <mergeCell ref="A2:D2"/>
    <mergeCell ref="F2:I2"/>
    <mergeCell ref="J12:L12"/>
    <mergeCell ref="F12:H12"/>
    <mergeCell ref="A12:D12"/>
  </mergeCells>
  <pageMargins left="0.7" right="0.7" top="0.75" bottom="0.75" header="0.3" footer="0.3"/>
  <pageSetup paperSize="9"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C1"/>
  <sheetViews>
    <sheetView zoomScale="85" zoomScaleNormal="85" workbookViewId="0">
      <selection sqref="A1:L1048576"/>
    </sheetView>
  </sheetViews>
  <sheetFormatPr defaultRowHeight="15" x14ac:dyDescent="0.25"/>
  <cols>
    <col min="1" max="1" width="39.5703125" style="32" customWidth="1"/>
    <col min="9" max="9" width="21.5703125" customWidth="1"/>
    <col min="10" max="10" width="18.28515625" customWidth="1"/>
  </cols>
  <sheetData>
    <row r="1" spans="1:3" x14ac:dyDescent="0.25">
      <c r="A1" s="33"/>
      <c r="B1" s="23"/>
      <c r="C1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3:J790"/>
  <sheetViews>
    <sheetView workbookViewId="0">
      <selection activeCell="F7" sqref="F7"/>
    </sheetView>
  </sheetViews>
  <sheetFormatPr defaultRowHeight="15" x14ac:dyDescent="0.25"/>
  <cols>
    <col min="5" max="5" width="15.28515625" customWidth="1"/>
    <col min="6" max="6" width="17.42578125" customWidth="1"/>
    <col min="9" max="9" width="40.5703125" customWidth="1"/>
    <col min="10" max="10" width="18.7109375" customWidth="1"/>
  </cols>
  <sheetData>
    <row r="3" spans="1:10" x14ac:dyDescent="0.25">
      <c r="D3" s="15" t="s">
        <v>35</v>
      </c>
      <c r="E3" s="15">
        <v>206</v>
      </c>
      <c r="F3" s="15" t="s">
        <v>36</v>
      </c>
      <c r="G3" s="15"/>
      <c r="H3" s="15">
        <v>206000</v>
      </c>
      <c r="I3" s="15" t="s">
        <v>52</v>
      </c>
    </row>
    <row r="5" spans="1:10" x14ac:dyDescent="0.25">
      <c r="A5" s="39" t="s">
        <v>47</v>
      </c>
      <c r="B5" s="39"/>
      <c r="C5" s="39"/>
      <c r="D5" s="39"/>
      <c r="E5" s="39"/>
      <c r="F5" s="39"/>
      <c r="G5" s="39"/>
      <c r="H5" s="39"/>
      <c r="I5" s="39"/>
      <c r="J5" s="39"/>
    </row>
    <row r="6" spans="1:10" x14ac:dyDescent="0.25">
      <c r="A6" s="7" t="s">
        <v>61</v>
      </c>
      <c r="B6" s="7">
        <v>21</v>
      </c>
      <c r="C6" s="7" t="s">
        <v>65</v>
      </c>
      <c r="D6" s="7">
        <v>24</v>
      </c>
      <c r="E6" s="7" t="s">
        <v>48</v>
      </c>
      <c r="F6" s="7">
        <f xml:space="preserve"> PI()*((D6*D6) -( B6*B6))</f>
        <v>424.11500823462205</v>
      </c>
      <c r="G6" s="7" t="s">
        <v>50</v>
      </c>
      <c r="H6" s="7">
        <v>30</v>
      </c>
      <c r="I6" s="9">
        <f xml:space="preserve"> $H$3 *F6/H6</f>
        <v>2912256.389877738</v>
      </c>
      <c r="J6" s="9" t="s">
        <v>53</v>
      </c>
    </row>
    <row r="7" spans="1:10" x14ac:dyDescent="0.25">
      <c r="A7" s="7" t="s">
        <v>63</v>
      </c>
      <c r="B7" s="7">
        <v>60</v>
      </c>
      <c r="C7" s="7" t="s">
        <v>66</v>
      </c>
      <c r="D7" s="7">
        <v>67</v>
      </c>
      <c r="E7" s="7" t="s">
        <v>49</v>
      </c>
      <c r="F7" s="7">
        <f xml:space="preserve"> PI()*((D7*D7) -( B7*B7))</f>
        <v>2792.875869041326</v>
      </c>
      <c r="G7" s="7" t="s">
        <v>51</v>
      </c>
      <c r="H7" s="7">
        <v>99</v>
      </c>
      <c r="I7" s="9">
        <f xml:space="preserve"> $H$3 *F7/H7</f>
        <v>5811438.6769950828</v>
      </c>
      <c r="J7" s="9" t="s">
        <v>53</v>
      </c>
    </row>
    <row r="8" spans="1:10" x14ac:dyDescent="0.25">
      <c r="G8" s="3"/>
      <c r="H8" s="3"/>
      <c r="I8" s="10">
        <f xml:space="preserve"> (I6*I7)/(I6+I7)</f>
        <v>1940049.4047218503</v>
      </c>
      <c r="J8" s="11" t="s">
        <v>54</v>
      </c>
    </row>
    <row r="10" spans="1:10" x14ac:dyDescent="0.25">
      <c r="A10" s="39" t="s">
        <v>58</v>
      </c>
      <c r="B10" s="39"/>
      <c r="C10" s="39"/>
      <c r="D10" s="39"/>
      <c r="E10" s="39"/>
      <c r="F10" s="39"/>
      <c r="G10" s="39"/>
      <c r="H10" s="39"/>
      <c r="I10" s="39"/>
      <c r="J10" s="39"/>
    </row>
    <row r="11" spans="1:10" x14ac:dyDescent="0.25">
      <c r="A11" s="8" t="s">
        <v>65</v>
      </c>
      <c r="B11" s="8">
        <v>5</v>
      </c>
      <c r="C11" s="8"/>
      <c r="D11" s="8"/>
      <c r="E11" s="8" t="s">
        <v>48</v>
      </c>
      <c r="F11" s="8">
        <f xml:space="preserve"> PI()*( B11*B11)</f>
        <v>78.539816339744831</v>
      </c>
      <c r="G11" s="8" t="s">
        <v>50</v>
      </c>
      <c r="H11" s="8">
        <v>42</v>
      </c>
      <c r="I11" s="12">
        <f xml:space="preserve"> $H$3 *F11/H11</f>
        <v>385219.09919017705</v>
      </c>
      <c r="J11" s="13" t="s">
        <v>53</v>
      </c>
    </row>
    <row r="12" spans="1:10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</row>
    <row r="13" spans="1:1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</row>
    <row r="14" spans="1:10" x14ac:dyDescent="0.25">
      <c r="A14" s="38" t="s">
        <v>59</v>
      </c>
      <c r="B14" s="38"/>
      <c r="C14" s="38"/>
      <c r="D14" s="38"/>
      <c r="E14" s="38"/>
      <c r="F14" s="38"/>
      <c r="G14" s="38"/>
      <c r="H14" s="38"/>
      <c r="I14" s="38"/>
      <c r="J14" s="38"/>
    </row>
    <row r="15" spans="1:10" x14ac:dyDescent="0.25">
      <c r="A15" s="8" t="s">
        <v>65</v>
      </c>
      <c r="B15" s="8">
        <v>750</v>
      </c>
      <c r="C15" s="8"/>
      <c r="D15" s="8"/>
      <c r="E15" s="8" t="s">
        <v>48</v>
      </c>
      <c r="F15" s="8">
        <f xml:space="preserve"> PI()*( B15*B15)</f>
        <v>1767145.8676442585</v>
      </c>
      <c r="G15" s="8" t="s">
        <v>50</v>
      </c>
      <c r="H15" s="8">
        <v>42</v>
      </c>
      <c r="I15" s="12">
        <f xml:space="preserve"> $H$3 *F15/H15</f>
        <v>8667429731.7789822</v>
      </c>
      <c r="J15" s="13" t="s">
        <v>53</v>
      </c>
    </row>
    <row r="16" spans="1:10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</row>
    <row r="17" spans="1:10" x14ac:dyDescent="0.25">
      <c r="A17" s="38" t="s">
        <v>64</v>
      </c>
      <c r="B17" s="38"/>
      <c r="C17" s="38"/>
      <c r="D17" s="38"/>
      <c r="E17" s="38"/>
      <c r="F17" s="38"/>
      <c r="G17" s="38"/>
      <c r="H17" s="38"/>
      <c r="I17" s="38"/>
      <c r="J17" s="38"/>
    </row>
    <row r="18" spans="1:10" x14ac:dyDescent="0.25">
      <c r="A18" s="8" t="s">
        <v>65</v>
      </c>
      <c r="B18" s="8">
        <v>3</v>
      </c>
      <c r="C18" s="8"/>
      <c r="D18" s="8"/>
      <c r="E18" s="8" t="s">
        <v>48</v>
      </c>
      <c r="F18" s="8">
        <f xml:space="preserve"> PI()*( B18*B18)</f>
        <v>28.274333882308138</v>
      </c>
      <c r="G18" s="8" t="s">
        <v>62</v>
      </c>
      <c r="H18" s="8">
        <v>25</v>
      </c>
      <c r="I18" s="13">
        <f xml:space="preserve"> $H$3 *F18/H18</f>
        <v>232980.51119021908</v>
      </c>
      <c r="J18" s="13" t="s">
        <v>53</v>
      </c>
    </row>
    <row r="19" spans="1:10" x14ac:dyDescent="0.25">
      <c r="A19" s="8" t="s">
        <v>66</v>
      </c>
      <c r="B19" s="8">
        <v>6</v>
      </c>
      <c r="C19" s="8"/>
      <c r="D19" s="8"/>
      <c r="E19" s="8" t="s">
        <v>48</v>
      </c>
      <c r="F19" s="8">
        <f xml:space="preserve"> PI()*( B19*B19)</f>
        <v>113.09733552923255</v>
      </c>
      <c r="G19" s="8" t="s">
        <v>62</v>
      </c>
      <c r="H19" s="8">
        <v>9</v>
      </c>
      <c r="I19" s="13">
        <f xml:space="preserve"> $H$3 *F19/H19</f>
        <v>2588672.3465579897</v>
      </c>
      <c r="J19" s="13" t="s">
        <v>53</v>
      </c>
    </row>
    <row r="20" spans="1:10" x14ac:dyDescent="0.25">
      <c r="A20" s="3"/>
      <c r="B20" s="3"/>
      <c r="C20" s="3"/>
      <c r="D20" s="3"/>
      <c r="E20" s="3"/>
      <c r="F20" s="3"/>
      <c r="G20" s="3"/>
      <c r="H20" s="3"/>
      <c r="I20" s="10">
        <f xml:space="preserve"> (I18*I19)/(I18+I19)</f>
        <v>213743.58824790744</v>
      </c>
      <c r="J20" s="13" t="s">
        <v>54</v>
      </c>
    </row>
    <row r="21" spans="1:1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</row>
    <row r="22" spans="1:1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</row>
    <row r="23" spans="1:10" x14ac:dyDescent="0.25">
      <c r="A23" s="38" t="s">
        <v>60</v>
      </c>
      <c r="B23" s="38"/>
      <c r="C23" s="38"/>
      <c r="D23" s="38"/>
      <c r="E23" s="38"/>
      <c r="F23" s="38"/>
      <c r="G23" s="38"/>
      <c r="H23" s="38"/>
      <c r="I23" s="38"/>
      <c r="J23" s="38"/>
    </row>
    <row r="24" spans="1:10" x14ac:dyDescent="0.25">
      <c r="A24" s="8" t="s">
        <v>65</v>
      </c>
      <c r="B24" s="8">
        <v>5</v>
      </c>
      <c r="C24" s="8"/>
      <c r="D24" s="8"/>
      <c r="E24" s="8" t="s">
        <v>48</v>
      </c>
      <c r="F24" s="8">
        <f xml:space="preserve"> PI()*( B24*B24)</f>
        <v>78.539816339744831</v>
      </c>
      <c r="G24" s="8" t="s">
        <v>62</v>
      </c>
      <c r="H24" s="8">
        <v>29.3</v>
      </c>
      <c r="I24" s="13">
        <f xml:space="preserve"> $H$3 *F24/H24</f>
        <v>552191.20020434936</v>
      </c>
      <c r="J24" s="13" t="s">
        <v>53</v>
      </c>
    </row>
    <row r="25" spans="1:10" x14ac:dyDescent="0.25">
      <c r="A25" s="7" t="s">
        <v>63</v>
      </c>
      <c r="B25" s="7">
        <v>2.5</v>
      </c>
      <c r="C25" s="7" t="s">
        <v>66</v>
      </c>
      <c r="D25" s="7">
        <v>5</v>
      </c>
      <c r="E25" s="7" t="s">
        <v>48</v>
      </c>
      <c r="F25" s="7">
        <f xml:space="preserve"> PI()*((D25*D25) -( B25*B25))</f>
        <v>58.90486225480862</v>
      </c>
      <c r="G25" s="7" t="s">
        <v>50</v>
      </c>
      <c r="H25" s="7">
        <v>12</v>
      </c>
      <c r="I25" s="9">
        <f xml:space="preserve"> $H$3 *F25/H25</f>
        <v>1011200.1353742146</v>
      </c>
      <c r="J25" s="9" t="s">
        <v>53</v>
      </c>
    </row>
    <row r="26" spans="1:10" x14ac:dyDescent="0.25">
      <c r="A26" s="7" t="s">
        <v>70</v>
      </c>
      <c r="B26" s="7">
        <v>3</v>
      </c>
      <c r="C26" s="7" t="s">
        <v>67</v>
      </c>
      <c r="D26" s="7">
        <v>5</v>
      </c>
      <c r="E26" s="7" t="s">
        <v>48</v>
      </c>
      <c r="F26" s="7">
        <f xml:space="preserve"> PI()*((D26*D26) -( B26*B26))</f>
        <v>50.26548245743669</v>
      </c>
      <c r="G26" s="7" t="s">
        <v>50</v>
      </c>
      <c r="H26" s="7">
        <v>17.7</v>
      </c>
      <c r="I26" s="9">
        <f xml:space="preserve"> $H$3 *F26/H26</f>
        <v>585010.69978711638</v>
      </c>
      <c r="J26" s="9" t="s">
        <v>53</v>
      </c>
    </row>
    <row r="27" spans="1:10" x14ac:dyDescent="0.25">
      <c r="A27" s="7" t="s">
        <v>69</v>
      </c>
      <c r="B27" s="7">
        <v>3</v>
      </c>
      <c r="C27" s="7" t="s">
        <v>68</v>
      </c>
      <c r="D27" s="7">
        <v>7.5</v>
      </c>
      <c r="E27" s="7" t="s">
        <v>49</v>
      </c>
      <c r="F27" s="7">
        <f xml:space="preserve"> PI()*((D27*D27) -( B27*B27))</f>
        <v>148.44025288211773</v>
      </c>
      <c r="G27" s="7" t="s">
        <v>51</v>
      </c>
      <c r="H27" s="7">
        <v>10.3</v>
      </c>
      <c r="I27" s="9">
        <f xml:space="preserve"> $H$3 *F27/H27</f>
        <v>2968805.0576423546</v>
      </c>
      <c r="J27" s="9" t="s">
        <v>53</v>
      </c>
    </row>
    <row r="28" spans="1:10" x14ac:dyDescent="0.25">
      <c r="I28" s="14">
        <f>(1/I24+1/I25+1/I26+1/I27)^(-1)</f>
        <v>206351.6206471202</v>
      </c>
      <c r="J28" s="13" t="s">
        <v>54</v>
      </c>
    </row>
    <row r="31" spans="1:10" x14ac:dyDescent="0.25">
      <c r="A31" s="38" t="s">
        <v>73</v>
      </c>
      <c r="B31" s="38"/>
      <c r="C31" s="38"/>
      <c r="D31" s="38"/>
      <c r="E31" s="38"/>
      <c r="F31" s="38"/>
      <c r="G31" s="38"/>
      <c r="H31" s="38"/>
      <c r="I31" s="38"/>
      <c r="J31" s="38"/>
    </row>
    <row r="32" spans="1:10" x14ac:dyDescent="0.25">
      <c r="A32" s="7" t="s">
        <v>61</v>
      </c>
      <c r="B32" s="7">
        <v>5</v>
      </c>
      <c r="C32" s="7" t="s">
        <v>65</v>
      </c>
      <c r="D32" s="7">
        <v>22.5</v>
      </c>
      <c r="E32" s="7" t="s">
        <v>48</v>
      </c>
      <c r="F32" s="7">
        <f xml:space="preserve"> PI()*((D32*D32) -( B32*B32))</f>
        <v>1511.891464540088</v>
      </c>
      <c r="G32" s="7" t="s">
        <v>50</v>
      </c>
      <c r="H32" s="7">
        <v>42</v>
      </c>
      <c r="I32" s="9">
        <f xml:space="preserve"> $H$3 *F32/H32</f>
        <v>7415467.6594109079</v>
      </c>
      <c r="J32" s="9" t="s">
        <v>53</v>
      </c>
    </row>
    <row r="33" spans="1:10" x14ac:dyDescent="0.25">
      <c r="A33" s="7" t="s">
        <v>63</v>
      </c>
      <c r="B33" s="7">
        <v>5</v>
      </c>
      <c r="C33" s="7" t="s">
        <v>66</v>
      </c>
      <c r="D33" s="7">
        <v>28</v>
      </c>
      <c r="E33" s="7" t="s">
        <v>49</v>
      </c>
      <c r="F33" s="7">
        <f xml:space="preserve"> PI()*((D33*D33) -( B33*B33))</f>
        <v>2384.4688240746532</v>
      </c>
      <c r="G33" s="7" t="s">
        <v>51</v>
      </c>
      <c r="H33" s="7">
        <v>13</v>
      </c>
      <c r="I33" s="9">
        <f xml:space="preserve"> $H$3 *F33/H33</f>
        <v>37784659.827644505</v>
      </c>
      <c r="J33" s="9" t="s">
        <v>82</v>
      </c>
    </row>
    <row r="34" spans="1:10" x14ac:dyDescent="0.25">
      <c r="A34" s="7" t="s">
        <v>70</v>
      </c>
      <c r="B34" s="7">
        <v>14</v>
      </c>
      <c r="C34" s="7" t="s">
        <v>67</v>
      </c>
      <c r="D34" s="7">
        <v>28</v>
      </c>
      <c r="E34" s="7" t="s">
        <v>80</v>
      </c>
      <c r="F34" s="7">
        <f xml:space="preserve"> PI()*((D34*D34) -( B34*B34))</f>
        <v>1847.2564803107985</v>
      </c>
      <c r="G34" s="7" t="s">
        <v>79</v>
      </c>
      <c r="H34" s="7">
        <v>12.5</v>
      </c>
      <c r="I34" s="9">
        <f xml:space="preserve"> $H$3 *F34/H34</f>
        <v>30442786.79552196</v>
      </c>
      <c r="J34" s="9" t="s">
        <v>83</v>
      </c>
    </row>
    <row r="35" spans="1:10" x14ac:dyDescent="0.25">
      <c r="A35" s="7" t="s">
        <v>69</v>
      </c>
      <c r="B35" s="7">
        <v>13</v>
      </c>
      <c r="C35" s="7" t="s">
        <v>68</v>
      </c>
      <c r="D35" s="7">
        <v>28</v>
      </c>
      <c r="E35" s="7" t="s">
        <v>81</v>
      </c>
      <c r="F35" s="7">
        <f xml:space="preserve"> PI()*((D35*D35) -( B35*B35))</f>
        <v>1932.0794819577227</v>
      </c>
      <c r="G35" s="7" t="s">
        <v>78</v>
      </c>
      <c r="H35" s="7">
        <v>5.5</v>
      </c>
      <c r="I35" s="9">
        <f xml:space="preserve"> $H$3 *F35/H35</f>
        <v>72365158.778780162</v>
      </c>
      <c r="J35" s="9" t="s">
        <v>84</v>
      </c>
    </row>
    <row r="36" spans="1:10" x14ac:dyDescent="0.25">
      <c r="A36" s="7" t="s">
        <v>74</v>
      </c>
      <c r="B36" s="7">
        <v>13</v>
      </c>
      <c r="C36" s="7" t="s">
        <v>75</v>
      </c>
      <c r="D36" s="7">
        <v>72.5</v>
      </c>
      <c r="E36" s="7" t="s">
        <v>76</v>
      </c>
      <c r="F36" s="7">
        <f xml:space="preserve"> PI()*((D36*D36) -( B36*B36))</f>
        <v>15982.067226974676</v>
      </c>
      <c r="G36" s="7" t="s">
        <v>77</v>
      </c>
      <c r="H36" s="7">
        <v>6</v>
      </c>
      <c r="I36" s="9">
        <f xml:space="preserve"> $H$3 *F36/H36</f>
        <v>548717641.45946383</v>
      </c>
      <c r="J36" s="9" t="s">
        <v>85</v>
      </c>
    </row>
    <row r="37" spans="1:10" x14ac:dyDescent="0.25">
      <c r="I37" s="14">
        <f>((1/I32+1/I33+1/I34+1/I35+1/I36)^(-1))</f>
        <v>4766245.0397361116</v>
      </c>
      <c r="J37" s="13" t="s">
        <v>54</v>
      </c>
    </row>
    <row r="40" spans="1:10" x14ac:dyDescent="0.25">
      <c r="A40" s="22" t="s">
        <v>0</v>
      </c>
      <c r="B40" s="22" t="s">
        <v>71</v>
      </c>
      <c r="C40" s="22" t="s">
        <v>101</v>
      </c>
      <c r="D40" s="22" t="s">
        <v>102</v>
      </c>
      <c r="E40" s="22" t="s">
        <v>103</v>
      </c>
      <c r="F40" s="22" t="s">
        <v>72</v>
      </c>
      <c r="G40" s="22" t="s">
        <v>104</v>
      </c>
      <c r="H40" s="20"/>
      <c r="I40" s="20"/>
      <c r="J40" s="24" t="s">
        <v>105</v>
      </c>
    </row>
    <row r="41" spans="1:10" x14ac:dyDescent="0.25">
      <c r="A41" s="22">
        <v>0.1</v>
      </c>
      <c r="B41" s="22">
        <v>3.1400000000000004E-2</v>
      </c>
      <c r="C41" s="22">
        <v>1.3333337283953778E-3</v>
      </c>
      <c r="D41" s="22">
        <v>74.999933333303701</v>
      </c>
      <c r="E41" s="22">
        <v>6.6666696298511852E-5</v>
      </c>
      <c r="F41" s="22">
        <v>97025956.874128014</v>
      </c>
      <c r="G41" s="23">
        <v>1.0306520360291857E-8</v>
      </c>
      <c r="H41" s="20"/>
      <c r="I41" s="20"/>
      <c r="J41" s="25">
        <v>3431874.2854373301</v>
      </c>
    </row>
    <row r="42" spans="1:10" x14ac:dyDescent="0.25">
      <c r="A42" s="22">
        <v>0.2</v>
      </c>
      <c r="B42" s="22">
        <v>0.12560000000000002</v>
      </c>
      <c r="C42" s="22">
        <v>2.6666698271706076E-3</v>
      </c>
      <c r="D42" s="22">
        <v>74.99973333285925</v>
      </c>
      <c r="E42" s="22">
        <v>2.0000044445112053E-4</v>
      </c>
      <c r="F42" s="22">
        <v>129367712.51187608</v>
      </c>
      <c r="G42" s="23">
        <v>7.7299040122410683E-9</v>
      </c>
      <c r="H42" s="20"/>
      <c r="I42" s="20"/>
      <c r="J42" s="20"/>
    </row>
    <row r="43" spans="1:10" x14ac:dyDescent="0.25">
      <c r="A43" s="22">
        <v>0.3</v>
      </c>
      <c r="B43" s="22">
        <v>0.28259999999999996</v>
      </c>
      <c r="C43" s="22">
        <v>4.0000106667434678E-3</v>
      </c>
      <c r="D43" s="22">
        <v>74.99939999759998</v>
      </c>
      <c r="E43" s="22">
        <v>3.3333525927048413E-4</v>
      </c>
      <c r="F43" s="22">
        <v>174645790.92954904</v>
      </c>
      <c r="G43" s="23">
        <v>5.7258751824336461E-9</v>
      </c>
      <c r="H43" s="20"/>
      <c r="I43" s="20"/>
      <c r="J43" s="20"/>
    </row>
    <row r="44" spans="1:10" x14ac:dyDescent="0.25">
      <c r="A44" s="22">
        <v>0.4</v>
      </c>
      <c r="B44" s="22">
        <v>0.50240000000000007</v>
      </c>
      <c r="C44" s="22">
        <v>5.3333586176075917E-3</v>
      </c>
      <c r="D44" s="22">
        <v>74.998933325748041</v>
      </c>
      <c r="E44" s="22">
        <v>4.6667185193882688E-4</v>
      </c>
      <c r="F44" s="22">
        <v>221771250.11938035</v>
      </c>
      <c r="G44" s="23">
        <v>4.5091507553918553E-9</v>
      </c>
      <c r="H44" s="20"/>
      <c r="I44" s="20"/>
      <c r="J44" s="20"/>
    </row>
    <row r="45" spans="1:10" x14ac:dyDescent="0.25">
      <c r="A45" s="22">
        <v>0.5</v>
      </c>
      <c r="B45" s="22">
        <v>0.78500000000000003</v>
      </c>
      <c r="C45" s="22">
        <v>6.6667160503703958E-3</v>
      </c>
      <c r="D45" s="22">
        <v>74.998333314814403</v>
      </c>
      <c r="E45" s="22">
        <v>6.0001093363837299E-4</v>
      </c>
      <c r="F45" s="22">
        <v>269511755.42654818</v>
      </c>
      <c r="G45" s="23">
        <v>3.7104132931690863E-9</v>
      </c>
      <c r="H45" s="20"/>
      <c r="I45" s="20"/>
      <c r="J45" s="20"/>
    </row>
    <row r="46" spans="1:10" x14ac:dyDescent="0.25">
      <c r="A46" s="22">
        <v>0.6</v>
      </c>
      <c r="B46" s="22">
        <v>1.1303999999999998</v>
      </c>
      <c r="C46" s="22">
        <v>8.0000853357910275E-3</v>
      </c>
      <c r="D46" s="22">
        <v>74.99759996159878</v>
      </c>
      <c r="E46" s="22">
        <v>7.3335321562240097E-4</v>
      </c>
      <c r="F46" s="22">
        <v>317531027.39498913</v>
      </c>
      <c r="G46" s="23">
        <v>3.1492985369145083E-9</v>
      </c>
      <c r="H46" s="20"/>
      <c r="I46" s="20"/>
      <c r="J46" s="20"/>
    </row>
    <row r="47" spans="1:10" x14ac:dyDescent="0.25">
      <c r="A47" s="22">
        <v>0.7</v>
      </c>
      <c r="B47" s="22">
        <v>1.5386</v>
      </c>
      <c r="C47" s="22">
        <v>9.3334688448182893E-3</v>
      </c>
      <c r="D47" s="22">
        <v>74.996733262189494</v>
      </c>
      <c r="E47" s="22">
        <v>8.6669940928629785E-4</v>
      </c>
      <c r="F47" s="22">
        <v>365699568.50553358</v>
      </c>
      <c r="G47" s="23">
        <v>2.734485042152486E-9</v>
      </c>
      <c r="H47" s="20"/>
      <c r="I47" s="20"/>
      <c r="J47" s="20"/>
    </row>
    <row r="48" spans="1:10" x14ac:dyDescent="0.25">
      <c r="A48" s="22">
        <v>0.8</v>
      </c>
      <c r="B48" s="22">
        <v>2.0096000000000003</v>
      </c>
      <c r="C48" s="22">
        <v>1.0666868948628613E-2</v>
      </c>
      <c r="D48" s="22">
        <v>74.995733211963469</v>
      </c>
      <c r="E48" s="22">
        <v>1.0000502260254507E-3</v>
      </c>
      <c r="F48" s="22">
        <v>413956808.59479606</v>
      </c>
      <c r="G48" s="23">
        <v>2.4157109612342567E-9</v>
      </c>
      <c r="H48" s="20"/>
      <c r="I48" s="20"/>
      <c r="J48" s="20"/>
    </row>
    <row r="49" spans="1:10" x14ac:dyDescent="0.25">
      <c r="A49" s="22">
        <v>0.9</v>
      </c>
      <c r="B49" s="22">
        <v>2.5434000000000001</v>
      </c>
      <c r="C49" s="22">
        <v>1.2000288018664E-2</v>
      </c>
      <c r="D49" s="22">
        <v>74.994599805586006</v>
      </c>
      <c r="E49" s="22">
        <v>1.1334063774626202E-3</v>
      </c>
      <c r="F49" s="22">
        <v>462270559.2789728</v>
      </c>
      <c r="G49" s="23">
        <v>2.1632353173426218E-9</v>
      </c>
      <c r="H49" s="20"/>
      <c r="I49" s="20"/>
      <c r="J49" s="20"/>
    </row>
    <row r="50" spans="1:10" x14ac:dyDescent="0.25">
      <c r="A50" s="22">
        <v>1</v>
      </c>
      <c r="B50" s="22">
        <v>3.14</v>
      </c>
      <c r="C50" s="22">
        <v>1.3333728426670013E-2</v>
      </c>
      <c r="D50" s="22">
        <v>74.9933330370107</v>
      </c>
      <c r="E50" s="22">
        <v>1.2667685753058322E-3</v>
      </c>
      <c r="F50" s="22">
        <v>510622076.20980442</v>
      </c>
      <c r="G50" s="23">
        <v>1.9583955465120155E-9</v>
      </c>
      <c r="H50" s="20"/>
      <c r="I50" s="20"/>
      <c r="J50" s="20"/>
    </row>
    <row r="51" spans="1:10" x14ac:dyDescent="0.25">
      <c r="A51" s="22">
        <v>1.1000000000000001</v>
      </c>
      <c r="B51" s="22">
        <v>3.7994000000000008</v>
      </c>
      <c r="C51" s="22">
        <v>1.4667192544733748E-2</v>
      </c>
      <c r="D51" s="22">
        <v>74.991932899479252</v>
      </c>
      <c r="E51" s="22">
        <v>1.4001375314478537E-3</v>
      </c>
      <c r="F51" s="22">
        <v>558999657.11986196</v>
      </c>
      <c r="G51" s="23">
        <v>1.7889098629367813E-9</v>
      </c>
      <c r="H51" s="20"/>
      <c r="I51" s="20"/>
      <c r="J51" s="20"/>
    </row>
    <row r="52" spans="1:10" x14ac:dyDescent="0.25">
      <c r="A52" s="22">
        <v>1.2</v>
      </c>
      <c r="B52" s="22">
        <v>4.5215999999999994</v>
      </c>
      <c r="C52" s="22">
        <v>1.6000682745321855E-2</v>
      </c>
      <c r="D52" s="22">
        <v>74.990399385521343</v>
      </c>
      <c r="E52" s="22">
        <v>1.5335139579093493E-3</v>
      </c>
      <c r="F52" s="22">
        <v>607395580.06361532</v>
      </c>
      <c r="G52" s="23">
        <v>1.646373521347102E-9</v>
      </c>
      <c r="H52" s="20"/>
      <c r="I52" s="20"/>
      <c r="J52" s="20"/>
    </row>
    <row r="53" spans="1:10" x14ac:dyDescent="0.25">
      <c r="A53" s="22">
        <v>1.3</v>
      </c>
      <c r="B53" s="22">
        <v>5.3066000000000013</v>
      </c>
      <c r="C53" s="22">
        <v>1.7334201401318531E-2</v>
      </c>
      <c r="D53" s="22">
        <v>74.988732486954333</v>
      </c>
      <c r="E53" s="22">
        <v>1.6668985670094116E-3</v>
      </c>
      <c r="F53" s="22">
        <v>655804511.22544408</v>
      </c>
      <c r="G53" s="23">
        <v>1.5248446494083857E-9</v>
      </c>
      <c r="H53" s="20"/>
      <c r="I53" s="20"/>
      <c r="J53" s="20"/>
    </row>
    <row r="54" spans="1:10" x14ac:dyDescent="0.25">
      <c r="A54" s="22">
        <v>1.4</v>
      </c>
      <c r="B54" s="22">
        <v>6.1543999999999999</v>
      </c>
      <c r="C54" s="22">
        <v>1.8667750886063587E-2</v>
      </c>
      <c r="D54" s="22">
        <v>74.986932194883124</v>
      </c>
      <c r="E54" s="22">
        <v>1.8002920712092418E-3</v>
      </c>
      <c r="F54" s="22">
        <v>704222620.47092414</v>
      </c>
      <c r="G54" s="23">
        <v>1.4200055081037941E-9</v>
      </c>
      <c r="H54" s="5"/>
      <c r="I54" s="5"/>
      <c r="J54" s="5"/>
    </row>
    <row r="55" spans="1:10" x14ac:dyDescent="0.25">
      <c r="A55" s="22">
        <v>1.5</v>
      </c>
      <c r="B55" s="22">
        <v>7.0649999999999995</v>
      </c>
      <c r="C55" s="22">
        <v>2.0001333573390494E-2</v>
      </c>
      <c r="D55" s="22">
        <v>74.984998499699927</v>
      </c>
      <c r="E55" s="22">
        <v>1.9336951831974147E-3</v>
      </c>
      <c r="F55" s="22">
        <v>752647062.80825257</v>
      </c>
      <c r="G55" s="23">
        <v>1.3286439945288991E-9</v>
      </c>
      <c r="H55" s="5"/>
      <c r="I55" s="5"/>
      <c r="J55" s="5"/>
    </row>
    <row r="56" spans="1:10" x14ac:dyDescent="0.25">
      <c r="A56" s="22">
        <v>1.6</v>
      </c>
      <c r="B56" s="22">
        <v>8.0384000000000011</v>
      </c>
      <c r="C56" s="22">
        <v>2.1334951837664443E-2</v>
      </c>
      <c r="D56" s="22">
        <v>74.982931391083937</v>
      </c>
      <c r="E56" s="22">
        <v>2.0671086159893548E-3</v>
      </c>
      <c r="F56" s="22">
        <v>801075660.5585779</v>
      </c>
      <c r="G56" s="23">
        <v>1.2483215371975166E-9</v>
      </c>
      <c r="H56" s="5"/>
      <c r="I56" s="5"/>
      <c r="J56" s="5"/>
    </row>
    <row r="57" spans="1:10" x14ac:dyDescent="0.25">
      <c r="A57" s="22">
        <v>1.7</v>
      </c>
      <c r="B57" s="22">
        <v>9.0746000000000002</v>
      </c>
      <c r="C57" s="22">
        <v>2.2668608053820479E-2</v>
      </c>
      <c r="D57" s="22">
        <v>74.98073085800111</v>
      </c>
      <c r="E57" s="22">
        <v>2.2005330828278602E-3</v>
      </c>
      <c r="F57" s="22">
        <v>849506701.16611648</v>
      </c>
      <c r="G57" s="23">
        <v>1.1771537512621167E-9</v>
      </c>
      <c r="H57" s="5"/>
      <c r="I57" s="5"/>
      <c r="J57" s="5"/>
    </row>
    <row r="58" spans="1:10" x14ac:dyDescent="0.25">
      <c r="A58" s="22">
        <v>1.8</v>
      </c>
      <c r="B58" s="22">
        <v>10.1736</v>
      </c>
      <c r="C58" s="22">
        <v>2.4002304597401634E-2</v>
      </c>
      <c r="D58" s="22">
        <v>74.978396888703884</v>
      </c>
      <c r="E58" s="22">
        <v>2.3339692972257353E-3</v>
      </c>
      <c r="F58" s="22">
        <v>897938804.28980792</v>
      </c>
      <c r="G58" s="23">
        <v>1.1136616384352759E-9</v>
      </c>
      <c r="H58" s="5"/>
      <c r="I58" s="5"/>
      <c r="J58" s="5"/>
    </row>
    <row r="59" spans="1:10" x14ac:dyDescent="0.25">
      <c r="A59" s="22">
        <v>1.9</v>
      </c>
      <c r="B59" s="22">
        <v>11.3354</v>
      </c>
      <c r="C59" s="22">
        <v>2.5336043844597037E-2</v>
      </c>
      <c r="D59" s="22">
        <v>74.975929470730804</v>
      </c>
      <c r="E59" s="22">
        <v>2.4674179730794776E-3</v>
      </c>
      <c r="F59" s="22">
        <v>946370831.96961236</v>
      </c>
      <c r="G59" s="23">
        <v>1.056668238515734E-9</v>
      </c>
      <c r="H59" s="5"/>
      <c r="I59" s="5"/>
      <c r="J59" s="5"/>
    </row>
    <row r="60" spans="1:10" x14ac:dyDescent="0.25">
      <c r="A60" s="22">
        <v>2</v>
      </c>
      <c r="B60" s="22">
        <v>12.56</v>
      </c>
      <c r="C60" s="22">
        <v>2.6669828172280148E-2</v>
      </c>
      <c r="D60" s="22">
        <v>74.973328590906249</v>
      </c>
      <c r="E60" s="22">
        <v>2.6008798245555909E-3</v>
      </c>
      <c r="F60" s="22">
        <v>994801826.50965011</v>
      </c>
      <c r="G60" s="23">
        <v>1.0052253356918212E-9</v>
      </c>
      <c r="H60" s="5"/>
      <c r="I60" s="5"/>
      <c r="J60" s="5"/>
    </row>
    <row r="61" spans="1:10" x14ac:dyDescent="0.25">
      <c r="A61" s="22">
        <v>2.1</v>
      </c>
      <c r="B61" s="22">
        <v>13.8474</v>
      </c>
      <c r="C61" s="22">
        <v>2.8003659958046954E-2</v>
      </c>
      <c r="D61" s="22">
        <v>74.97059423534003</v>
      </c>
      <c r="E61" s="22">
        <v>2.7343555662184826E-3</v>
      </c>
      <c r="F61" s="22">
        <v>1043230966.4631494</v>
      </c>
      <c r="G61" s="23">
        <v>9.5856050304017082E-10</v>
      </c>
      <c r="H61" s="5"/>
      <c r="I61" s="5"/>
      <c r="J61" s="5"/>
    </row>
    <row r="62" spans="1:10" x14ac:dyDescent="0.25">
      <c r="A62" s="22">
        <v>2.2000000000000002</v>
      </c>
      <c r="B62" s="22">
        <v>15.197600000000003</v>
      </c>
      <c r="C62" s="22">
        <v>2.9337541580254211E-2</v>
      </c>
      <c r="D62" s="22">
        <v>74.967726389427071</v>
      </c>
      <c r="E62" s="22">
        <v>2.8678459129594103E-3</v>
      </c>
      <c r="F62" s="22">
        <v>1091657534.9647493</v>
      </c>
      <c r="G62" s="23">
        <v>9.1603819693535199E-10</v>
      </c>
      <c r="H62" s="5"/>
      <c r="I62" s="5"/>
      <c r="J62" s="5"/>
    </row>
    <row r="63" spans="1:10" x14ac:dyDescent="0.25">
      <c r="A63" s="22">
        <v>2.2999999999999998</v>
      </c>
      <c r="B63" s="22">
        <v>16.610599999999998</v>
      </c>
      <c r="C63" s="22">
        <v>3.0671475418057734E-2</v>
      </c>
      <c r="D63" s="22">
        <v>74.964725037846961</v>
      </c>
      <c r="E63" s="22">
        <v>3.0013515801101676E-3</v>
      </c>
      <c r="F63" s="22">
        <v>1140080896.4454606</v>
      </c>
      <c r="G63" s="23">
        <v>8.7713073968504854E-10</v>
      </c>
      <c r="H63" s="5"/>
      <c r="I63" s="5"/>
      <c r="J63" s="5"/>
    </row>
    <row r="64" spans="1:10" x14ac:dyDescent="0.25">
      <c r="A64" s="22">
        <v>2.4</v>
      </c>
      <c r="B64" s="22">
        <v>18.086399999999998</v>
      </c>
      <c r="C64" s="22">
        <v>3.200546385145072E-2</v>
      </c>
      <c r="D64" s="22">
        <v>74.961590164563617</v>
      </c>
      <c r="E64" s="22">
        <v>3.1348732833436088E-3</v>
      </c>
      <c r="F64" s="22">
        <v>1188500479.3642309</v>
      </c>
      <c r="G64" s="23">
        <v>8.4139637918777607E-10</v>
      </c>
      <c r="H64" s="5"/>
      <c r="I64" s="5"/>
      <c r="J64" s="5"/>
    </row>
    <row r="65" spans="1:10" x14ac:dyDescent="0.25">
      <c r="A65" s="22">
        <v>2.5</v>
      </c>
      <c r="B65" s="22">
        <v>19.625</v>
      </c>
      <c r="C65" s="22">
        <v>3.3339509261302087E-2</v>
      </c>
      <c r="D65" s="22">
        <v>74.958321752824745</v>
      </c>
      <c r="E65" s="22">
        <v>3.2684117388726008E-3</v>
      </c>
      <c r="F65" s="22">
        <v>1236915763.0655487</v>
      </c>
      <c r="G65" s="23">
        <v>8.0846249183664613E-10</v>
      </c>
      <c r="H65" s="5"/>
      <c r="I65" s="5"/>
      <c r="J65" s="5"/>
    </row>
    <row r="66" spans="1:10" x14ac:dyDescent="0.25">
      <c r="A66" s="22">
        <v>2.6</v>
      </c>
      <c r="B66" s="22">
        <v>21.226400000000005</v>
      </c>
      <c r="C66" s="22">
        <v>3.4673614029394881E-2</v>
      </c>
      <c r="D66" s="22">
        <v>74.954919785161536</v>
      </c>
      <c r="E66" s="22">
        <v>3.4019676632084384E-3</v>
      </c>
      <c r="F66" s="22">
        <v>1285326267.8799572</v>
      </c>
      <c r="G66" s="23">
        <v>7.7801257547581277E-10</v>
      </c>
      <c r="H66" s="5"/>
      <c r="I66" s="5"/>
      <c r="J66" s="5"/>
    </row>
    <row r="67" spans="1:10" x14ac:dyDescent="0.25">
      <c r="A67" s="22">
        <v>2.7</v>
      </c>
      <c r="B67" s="22">
        <v>22.890600000000006</v>
      </c>
      <c r="C67" s="22">
        <v>3.6007780538464693E-2</v>
      </c>
      <c r="D67" s="22">
        <v>74.951384243388063</v>
      </c>
      <c r="E67" s="22">
        <v>3.5355417734734829E-3</v>
      </c>
      <c r="F67" s="22">
        <v>1333731547.2777762</v>
      </c>
      <c r="G67" s="23">
        <v>7.4977607153482891E-10</v>
      </c>
      <c r="H67" s="5"/>
      <c r="I67" s="5"/>
      <c r="J67" s="5"/>
    </row>
    <row r="68" spans="1:10" x14ac:dyDescent="0.25">
      <c r="A68" s="22">
        <v>2.8</v>
      </c>
      <c r="B68" s="22">
        <v>24.617599999999999</v>
      </c>
      <c r="C68" s="22">
        <v>3.7342011172238149E-2</v>
      </c>
      <c r="D68" s="22">
        <v>74.947715108600875</v>
      </c>
      <c r="E68" s="22">
        <v>3.6691347871879998E-3</v>
      </c>
      <c r="F68" s="22">
        <v>1382131181.9091151</v>
      </c>
      <c r="G68" s="23">
        <v>7.2352032360540223E-10</v>
      </c>
      <c r="H68" s="5"/>
      <c r="I68" s="5"/>
      <c r="J68" s="5"/>
    </row>
    <row r="69" spans="1:10" x14ac:dyDescent="0.25">
      <c r="A69" s="22">
        <v>2.9</v>
      </c>
      <c r="B69" s="22">
        <v>26.407399999999999</v>
      </c>
      <c r="C69" s="22">
        <v>3.8676308315471468E-2</v>
      </c>
      <c r="D69" s="22">
        <v>74.943912361178477</v>
      </c>
      <c r="E69" s="22">
        <v>3.8027474223980562E-3</v>
      </c>
      <c r="F69" s="22">
        <v>1430524774.7875721</v>
      </c>
      <c r="G69" s="23">
        <v>6.9904416730461477E-10</v>
      </c>
      <c r="H69" s="5"/>
      <c r="I69" s="5"/>
      <c r="J69" s="5"/>
    </row>
    <row r="70" spans="1:10" x14ac:dyDescent="0.25">
      <c r="A70" s="22">
        <v>3</v>
      </c>
      <c r="B70" s="22">
        <v>28.259999999999998</v>
      </c>
      <c r="C70" s="22">
        <v>4.0010674353988925E-2</v>
      </c>
      <c r="D70" s="22">
        <v>74.939975980780773</v>
      </c>
      <c r="E70" s="22">
        <v>3.9363803977039424E-3</v>
      </c>
      <c r="F70" s="22">
        <v>1478911947.48243</v>
      </c>
      <c r="G70" s="23">
        <v>6.7617277803611795E-10</v>
      </c>
      <c r="H70" s="5"/>
      <c r="I70" s="5"/>
      <c r="J70" s="5"/>
    </row>
    <row r="71" spans="1:10" x14ac:dyDescent="0.25">
      <c r="A71" s="22">
        <v>3.1</v>
      </c>
      <c r="B71" s="22">
        <v>30.1754</v>
      </c>
      <c r="C71" s="22">
        <v>4.1345111674721588E-2</v>
      </c>
      <c r="D71" s="22">
        <v>74.935905946348583</v>
      </c>
      <c r="E71" s="22">
        <v>4.070034432189118E-3</v>
      </c>
      <c r="F71" s="22">
        <v>1527292337.0961697</v>
      </c>
      <c r="G71" s="23">
        <v>6.5475349788063042E-10</v>
      </c>
      <c r="H71" s="5"/>
      <c r="I71" s="5"/>
      <c r="J71" s="5"/>
    </row>
    <row r="72" spans="1:10" x14ac:dyDescent="0.25">
      <c r="A72" s="22">
        <v>3.2</v>
      </c>
      <c r="B72" s="22">
        <v>32.153600000000004</v>
      </c>
      <c r="C72" s="22">
        <v>4.2679622665745896E-2</v>
      </c>
      <c r="D72" s="22">
        <v>74.931702236102979</v>
      </c>
      <c r="E72" s="22">
        <v>4.2037102456049524E-3</v>
      </c>
      <c r="F72" s="22">
        <v>1575665593.7276185</v>
      </c>
      <c r="G72" s="23">
        <v>6.3465243131587193E-10</v>
      </c>
      <c r="H72" s="5"/>
      <c r="I72" s="5"/>
      <c r="J72" s="5"/>
    </row>
    <row r="73" spans="1:10" x14ac:dyDescent="0.25">
      <c r="A73" s="22">
        <v>3.3</v>
      </c>
      <c r="B73" s="22">
        <v>34.194600000000001</v>
      </c>
      <c r="C73" s="22">
        <v>4.401420971632241E-2</v>
      </c>
      <c r="D73" s="22">
        <v>74.927364827544807</v>
      </c>
      <c r="E73" s="22">
        <v>4.3374085581717736E-3</v>
      </c>
      <c r="F73" s="22">
        <v>1624031378.5356429</v>
      </c>
      <c r="G73" s="23">
        <v>6.1575164939342512E-10</v>
      </c>
      <c r="H73" s="5"/>
      <c r="I73" s="5"/>
      <c r="J73" s="5"/>
    </row>
    <row r="74" spans="1:10" x14ac:dyDescent="0.25">
      <c r="A74" s="22">
        <v>3.4</v>
      </c>
      <c r="B74" s="22">
        <v>36.298400000000001</v>
      </c>
      <c r="C74" s="22">
        <v>4.5348875216934592E-2</v>
      </c>
      <c r="D74" s="22">
        <v>74.922893697454057</v>
      </c>
      <c r="E74" s="22">
        <v>4.4711300907493978E-3</v>
      </c>
      <c r="F74" s="22">
        <v>1672389362.0251868</v>
      </c>
      <c r="G74" s="23">
        <v>5.9794687930150785E-10</v>
      </c>
      <c r="H74" s="5"/>
      <c r="I74" s="5"/>
      <c r="J74" s="5"/>
    </row>
    <row r="75" spans="1:10" x14ac:dyDescent="0.25">
      <c r="A75" s="22">
        <v>3.5</v>
      </c>
      <c r="B75" s="22">
        <v>38.465000000000003</v>
      </c>
      <c r="C75" s="22">
        <v>4.66836215593276E-2</v>
      </c>
      <c r="D75" s="22">
        <v>74.918288821889149</v>
      </c>
      <c r="E75" s="22">
        <v>4.6048755649081841E-3</v>
      </c>
      <c r="F75" s="22">
        <v>1720739222.6586676</v>
      </c>
      <c r="G75" s="23">
        <v>5.8114558373053593E-10</v>
      </c>
      <c r="H75" s="5"/>
      <c r="I75" s="5"/>
      <c r="J75" s="5"/>
    </row>
    <row r="76" spans="1:10" x14ac:dyDescent="0.25">
      <c r="A76" s="22">
        <v>3.6</v>
      </c>
      <c r="B76" s="22">
        <v>40.694400000000002</v>
      </c>
      <c r="C76" s="22">
        <v>4.8018451136547173E-2</v>
      </c>
      <c r="D76" s="22">
        <v>74.913550176186419</v>
      </c>
      <c r="E76" s="22">
        <v>4.7386457027300821E-3</v>
      </c>
      <c r="F76" s="22">
        <v>1769080645.7993398</v>
      </c>
      <c r="G76" s="23">
        <v>5.6526535541185627E-10</v>
      </c>
      <c r="H76" s="5"/>
      <c r="I76" s="5"/>
      <c r="J76" s="5"/>
    </row>
    <row r="77" spans="1:10" x14ac:dyDescent="0.25">
      <c r="A77" s="22">
        <v>3.7</v>
      </c>
      <c r="B77" s="22">
        <v>42.986600000000003</v>
      </c>
      <c r="C77" s="22">
        <v>4.9353366342978593E-2</v>
      </c>
      <c r="D77" s="22">
        <v>74.908677734959383</v>
      </c>
      <c r="E77" s="22">
        <v>4.8724412270360062E-3</v>
      </c>
      <c r="F77" s="22">
        <v>1817413322.6819451</v>
      </c>
      <c r="G77" s="23">
        <v>5.5023256818889523E-10</v>
      </c>
      <c r="H77" s="5"/>
      <c r="I77" s="5"/>
      <c r="J77" s="5"/>
    </row>
    <row r="78" spans="1:10" x14ac:dyDescent="0.25">
      <c r="A78" s="22">
        <v>3.8</v>
      </c>
      <c r="B78" s="22">
        <v>45.3416</v>
      </c>
      <c r="C78" s="22">
        <v>5.0688369574385654E-2</v>
      </c>
      <c r="D78" s="22">
        <v>74.903671472098083</v>
      </c>
      <c r="E78" s="22">
        <v>5.00626286130057E-3</v>
      </c>
      <c r="F78" s="22">
        <v>1865736949.6521959</v>
      </c>
      <c r="G78" s="23">
        <v>5.3598123796948789E-10</v>
      </c>
      <c r="H78" s="5"/>
      <c r="I78" s="5"/>
      <c r="J78" s="5"/>
    </row>
    <row r="79" spans="1:10" x14ac:dyDescent="0.25">
      <c r="A79" s="22">
        <v>3.9</v>
      </c>
      <c r="B79" s="22">
        <v>47.759399999999999</v>
      </c>
      <c r="C79" s="22">
        <v>5.2023463227949748E-2</v>
      </c>
      <c r="D79" s="22">
        <v>74.898531360768345</v>
      </c>
      <c r="E79" s="22">
        <v>5.1401113297373513E-3</v>
      </c>
      <c r="F79" s="22">
        <v>1914051227.4668424</v>
      </c>
      <c r="G79" s="23">
        <v>5.2245205648098215E-10</v>
      </c>
      <c r="H79" s="5"/>
      <c r="I79" s="5"/>
      <c r="J79" s="5"/>
    </row>
    <row r="80" spans="1:10" x14ac:dyDescent="0.25">
      <c r="A80" s="22">
        <v>4</v>
      </c>
      <c r="B80" s="22">
        <v>50.24</v>
      </c>
      <c r="C80" s="22">
        <v>5.3358649702308976E-2</v>
      </c>
      <c r="D80" s="22">
        <v>74.893257373411117</v>
      </c>
      <c r="E80" s="22">
        <v>5.2739873572278384E-3</v>
      </c>
      <c r="F80" s="22">
        <v>1962355860.7542753</v>
      </c>
      <c r="G80" s="23">
        <v>5.0959156797158476E-10</v>
      </c>
      <c r="H80" s="5"/>
      <c r="I80" s="5"/>
      <c r="J80" s="5"/>
    </row>
    <row r="81" spans="1:10" x14ac:dyDescent="0.25">
      <c r="A81" s="22">
        <v>4.0999999999999996</v>
      </c>
      <c r="B81" s="22">
        <v>52.783399999999993</v>
      </c>
      <c r="C81" s="22">
        <v>5.4693931397597317E-2</v>
      </c>
      <c r="D81" s="22">
        <v>74.887849481741696</v>
      </c>
      <c r="E81" s="22">
        <v>5.4078916694209056E-3</v>
      </c>
      <c r="F81" s="22">
        <v>2010650557.4961629</v>
      </c>
      <c r="G81" s="23">
        <v>4.9735146481409835E-10</v>
      </c>
      <c r="H81" s="5"/>
      <c r="I81" s="5"/>
      <c r="J81" s="5"/>
    </row>
    <row r="82" spans="1:10" x14ac:dyDescent="0.25">
      <c r="A82" s="22">
        <v>4.2</v>
      </c>
      <c r="B82" s="22">
        <v>55.389600000000002</v>
      </c>
      <c r="C82" s="22">
        <v>5.6029310715483914E-2</v>
      </c>
      <c r="D82" s="22">
        <v>74.882307656748935</v>
      </c>
      <c r="E82" s="22">
        <v>5.5418249927612351E-3</v>
      </c>
      <c r="F82" s="22">
        <v>2058935028.6059458</v>
      </c>
      <c r="G82" s="23">
        <v>4.8568798243093441E-10</v>
      </c>
      <c r="H82" s="5"/>
      <c r="I82" s="5"/>
      <c r="J82" s="5"/>
    </row>
    <row r="83" spans="1:10" x14ac:dyDescent="0.25">
      <c r="A83" s="22">
        <v>4.3</v>
      </c>
      <c r="B83" s="22">
        <v>58.058599999999998</v>
      </c>
      <c r="C83" s="22">
        <v>5.7364790059212419E-2</v>
      </c>
      <c r="D83" s="22">
        <v>74.876631868694517</v>
      </c>
      <c r="E83" s="22">
        <v>5.6757880544182626E-3</v>
      </c>
      <c r="F83" s="22">
        <v>2107208987.6030161</v>
      </c>
      <c r="G83" s="23">
        <v>4.7456137757722646E-10</v>
      </c>
      <c r="H83" s="5"/>
      <c r="I83" s="5"/>
      <c r="J83" s="5"/>
    </row>
    <row r="84" spans="1:10" x14ac:dyDescent="0.25">
      <c r="A84" s="22">
        <v>4.4000000000000004</v>
      </c>
      <c r="B84" s="22">
        <v>60.790400000000012</v>
      </c>
      <c r="C84" s="22">
        <v>5.8700371833640304E-2</v>
      </c>
      <c r="D84" s="22">
        <v>74.870822087112145</v>
      </c>
      <c r="E84" s="22">
        <v>5.8097815823714427E-3</v>
      </c>
      <c r="F84" s="22">
        <v>2155472150.2780528</v>
      </c>
      <c r="G84" s="23">
        <v>4.6393547690746154E-10</v>
      </c>
      <c r="H84" s="5"/>
      <c r="I84" s="5"/>
      <c r="J84" s="5"/>
    </row>
    <row r="85" spans="1:10" x14ac:dyDescent="0.25">
      <c r="A85" s="22">
        <v>4.5</v>
      </c>
      <c r="B85" s="22">
        <v>63.585000000000001</v>
      </c>
      <c r="C85" s="22">
        <v>6.0036058445278415E-2</v>
      </c>
      <c r="D85" s="22">
        <v>74.864878280806678</v>
      </c>
      <c r="E85" s="22">
        <v>5.943806305467092E-3</v>
      </c>
      <c r="F85" s="22">
        <v>2203724234.4105387</v>
      </c>
      <c r="G85" s="23">
        <v>4.5377728500929437E-10</v>
      </c>
      <c r="H85" s="5"/>
      <c r="I85" s="5"/>
      <c r="J85" s="5"/>
    </row>
    <row r="86" spans="1:10" x14ac:dyDescent="0.25">
      <c r="A86" s="22">
        <v>4.5999999999999996</v>
      </c>
      <c r="B86" s="22">
        <v>66.442399999999992</v>
      </c>
      <c r="C86" s="22">
        <v>6.1371852302330512E-2</v>
      </c>
      <c r="D86" s="22">
        <v>74.858800417853345</v>
      </c>
      <c r="E86" s="22">
        <v>6.0778629533331241E-3</v>
      </c>
      <c r="F86" s="22">
        <v>2251964959.574141</v>
      </c>
      <c r="G86" s="23">
        <v>4.4405664295465124E-10</v>
      </c>
      <c r="H86" s="5"/>
      <c r="I86" s="5"/>
      <c r="J86" s="5"/>
    </row>
    <row r="87" spans="1:10" x14ac:dyDescent="0.25">
      <c r="A87" s="22">
        <v>4.7</v>
      </c>
      <c r="B87" s="22">
        <v>69.3626</v>
      </c>
      <c r="C87" s="22">
        <v>6.2707755814732827E-2</v>
      </c>
      <c r="D87" s="22">
        <v>74.852588465596824</v>
      </c>
      <c r="E87" s="22">
        <v>6.2119522565211582E-3</v>
      </c>
      <c r="F87" s="22">
        <v>2300194046.8876061</v>
      </c>
      <c r="G87" s="23">
        <v>4.3474592995886611E-10</v>
      </c>
      <c r="H87" s="5"/>
      <c r="I87" s="5"/>
      <c r="J87" s="5"/>
    </row>
    <row r="88" spans="1:10" x14ac:dyDescent="0.25">
      <c r="A88" s="22">
        <v>4.8</v>
      </c>
      <c r="B88" s="22">
        <v>72.34559999999999</v>
      </c>
      <c r="C88" s="22">
        <v>6.4043771394193802E-2</v>
      </c>
      <c r="D88" s="22">
        <v>74.846242390650445</v>
      </c>
      <c r="E88" s="22">
        <v>6.3460749463786215E-3</v>
      </c>
      <c r="F88" s="22">
        <v>2348411218.8912115</v>
      </c>
      <c r="G88" s="23">
        <v>4.2581980189659633E-10</v>
      </c>
      <c r="H88" s="5"/>
      <c r="I88" s="5"/>
      <c r="J88" s="5"/>
    </row>
    <row r="89" spans="1:10" x14ac:dyDescent="0.25">
      <c r="A89" s="22">
        <v>4.9000000000000004</v>
      </c>
      <c r="B89" s="22">
        <v>75.391400000000004</v>
      </c>
      <c r="C89" s="22">
        <v>6.5379901454233863E-2</v>
      </c>
      <c r="D89" s="22">
        <v>74.839762158895184</v>
      </c>
      <c r="E89" s="22">
        <v>6.4802317552619115E-3</v>
      </c>
      <c r="F89" s="22">
        <v>2396616199.3186769</v>
      </c>
      <c r="G89" s="23">
        <v>4.1725496150960069E-10</v>
      </c>
      <c r="H89" s="5"/>
      <c r="I89" s="5"/>
      <c r="J89" s="5"/>
    </row>
    <row r="90" spans="1:10" x14ac:dyDescent="0.25">
      <c r="A90" s="22">
        <v>5</v>
      </c>
      <c r="B90" s="22">
        <v>78.5</v>
      </c>
      <c r="C90" s="22">
        <v>6.6716148410225259E-2</v>
      </c>
      <c r="D90" s="22">
        <v>74.833147735478832</v>
      </c>
      <c r="E90" s="22">
        <v>6.6144234163516558E-3</v>
      </c>
      <c r="F90" s="22">
        <v>2444808713.0351119</v>
      </c>
      <c r="G90" s="23">
        <v>4.0902995586863248E-10</v>
      </c>
      <c r="H90" s="5"/>
      <c r="I90" s="5"/>
      <c r="J90" s="5"/>
    </row>
    <row r="91" spans="1:10" x14ac:dyDescent="0.25">
      <c r="A91" s="22">
        <v>5.0999999999999996</v>
      </c>
      <c r="B91" s="22">
        <v>81.671399999999991</v>
      </c>
      <c r="C91" s="22">
        <v>6.8052514679432061E-2</v>
      </c>
      <c r="D91" s="22">
        <v>74.82639908481498</v>
      </c>
      <c r="E91" s="22">
        <v>6.748650663851663E-3</v>
      </c>
      <c r="F91" s="22">
        <v>2492988485.8490877</v>
      </c>
      <c r="G91" s="23">
        <v>4.0112499743832938E-10</v>
      </c>
      <c r="H91" s="5"/>
      <c r="I91" s="5"/>
      <c r="J91" s="5"/>
    </row>
    <row r="92" spans="1:10" x14ac:dyDescent="0.25">
      <c r="A92" s="22">
        <v>5.2</v>
      </c>
      <c r="B92" s="22">
        <v>84.905600000000021</v>
      </c>
      <c r="C92" s="22">
        <v>6.9389002681050166E-2</v>
      </c>
      <c r="D92" s="22">
        <v>74.819516170582119</v>
      </c>
      <c r="E92" s="22">
        <v>6.882914232861026E-3</v>
      </c>
      <c r="F92" s="22">
        <v>2541155244.4595394</v>
      </c>
      <c r="G92" s="23">
        <v>3.9352180555685926E-10</v>
      </c>
      <c r="H92" s="5"/>
      <c r="I92" s="5"/>
      <c r="J92" s="5"/>
    </row>
    <row r="93" spans="1:10" x14ac:dyDescent="0.25">
      <c r="A93" s="22">
        <v>5.3</v>
      </c>
      <c r="B93" s="22">
        <v>88.20259999999999</v>
      </c>
      <c r="C93" s="22">
        <v>7.0725614836247341E-2</v>
      </c>
      <c r="D93" s="22">
        <v>74.812498955722631</v>
      </c>
      <c r="E93" s="22">
        <v>7.0172148594878081E-3</v>
      </c>
      <c r="F93" s="22">
        <v>2589308716.3254142</v>
      </c>
      <c r="G93" s="23">
        <v>3.8620346569532957E-10</v>
      </c>
      <c r="H93" s="5"/>
      <c r="I93" s="5"/>
      <c r="J93" s="5"/>
    </row>
    <row r="94" spans="1:10" x14ac:dyDescent="0.25">
      <c r="A94" s="22">
        <v>5.4</v>
      </c>
      <c r="B94" s="22">
        <v>91.562400000000025</v>
      </c>
      <c r="C94" s="22">
        <v>7.2062353568203508E-2</v>
      </c>
      <c r="D94" s="22">
        <v>74.805347402441754</v>
      </c>
      <c r="E94" s="22">
        <v>7.1515532808774651E-3</v>
      </c>
      <c r="F94" s="22">
        <v>2637448629.5773969</v>
      </c>
      <c r="G94" s="23">
        <v>3.7915430419595767E-10</v>
      </c>
      <c r="H94" s="5"/>
      <c r="I94" s="5"/>
      <c r="J94" s="5"/>
    </row>
    <row r="95" spans="1:10" x14ac:dyDescent="0.25">
      <c r="A95" s="22">
        <v>5.5</v>
      </c>
      <c r="B95" s="22">
        <v>94.984999999999999</v>
      </c>
      <c r="C95" s="22">
        <v>7.3399221302151041E-2</v>
      </c>
      <c r="D95" s="22">
        <v>74.798061472206612</v>
      </c>
      <c r="E95" s="22">
        <v>7.2859302351417909E-3</v>
      </c>
      <c r="F95" s="22">
        <v>2685574712.9754405</v>
      </c>
      <c r="G95" s="23">
        <v>3.7235977653813462E-10</v>
      </c>
      <c r="H95" s="5"/>
      <c r="I95" s="5"/>
      <c r="J95" s="5"/>
    </row>
    <row r="96" spans="1:10" x14ac:dyDescent="0.25">
      <c r="A96" s="22">
        <v>5.6</v>
      </c>
      <c r="B96" s="22">
        <v>98.470399999999998</v>
      </c>
      <c r="C96" s="22">
        <v>7.4736220465415087E-2</v>
      </c>
      <c r="D96" s="22">
        <v>74.79064112574514</v>
      </c>
      <c r="E96" s="22">
        <v>7.4203464614726045E-3</v>
      </c>
      <c r="F96" s="22">
        <v>2733686695.8061633</v>
      </c>
      <c r="G96" s="23">
        <v>3.6580636747222431E-10</v>
      </c>
      <c r="H96" s="5"/>
      <c r="I96" s="5"/>
      <c r="J96" s="5"/>
    </row>
    <row r="97" spans="1:10" x14ac:dyDescent="0.25">
      <c r="A97" s="22">
        <v>5.7</v>
      </c>
      <c r="B97" s="22">
        <v>102.01860000000001</v>
      </c>
      <c r="C97" s="22">
        <v>7.6073353487454184E-2</v>
      </c>
      <c r="D97" s="22">
        <v>74.783086323044998</v>
      </c>
      <c r="E97" s="22">
        <v>7.5548027001417495E-3</v>
      </c>
      <c r="F97" s="22">
        <v>2781784307.8292017</v>
      </c>
      <c r="G97" s="23">
        <v>3.5948150156198195E-10</v>
      </c>
      <c r="H97" s="5"/>
      <c r="I97" s="5"/>
      <c r="J97" s="5"/>
    </row>
    <row r="98" spans="1:10" x14ac:dyDescent="0.25">
      <c r="A98" s="22">
        <v>5.8</v>
      </c>
      <c r="B98" s="22">
        <v>105.6296</v>
      </c>
      <c r="C98" s="22">
        <v>7.7410622799900713E-2</v>
      </c>
      <c r="D98" s="22">
        <v>74.775397023352539</v>
      </c>
      <c r="E98" s="22">
        <v>7.6892996924584622E-3</v>
      </c>
      <c r="F98" s="22">
        <v>2829867279.24541</v>
      </c>
      <c r="G98" s="23">
        <v>3.5337346289492845E-10</v>
      </c>
      <c r="H98" s="5"/>
      <c r="I98" s="5"/>
      <c r="J98" s="5"/>
    </row>
    <row r="99" spans="1:10" x14ac:dyDescent="0.25">
      <c r="A99" s="22">
        <v>5.9</v>
      </c>
      <c r="B99" s="22">
        <v>109.30340000000002</v>
      </c>
      <c r="C99" s="22">
        <v>7.8748030836601562E-2</v>
      </c>
      <c r="D99" s="22">
        <v>74.767573185171656</v>
      </c>
      <c r="E99" s="22">
        <v>7.8238381808830582E-3</v>
      </c>
      <c r="F99" s="22">
        <v>2877935340.6129141</v>
      </c>
      <c r="G99" s="23">
        <v>3.4747132289185829E-10</v>
      </c>
      <c r="H99" s="5"/>
      <c r="I99" s="5"/>
      <c r="J99" s="5"/>
    </row>
    <row r="100" spans="1:10" x14ac:dyDescent="0.25">
      <c r="A100" s="22">
        <v>6</v>
      </c>
      <c r="B100" s="22">
        <v>113.03999999999999</v>
      </c>
      <c r="C100" s="22">
        <v>8.008558003365901E-2</v>
      </c>
      <c r="D100" s="22">
        <v>74.759614766262672</v>
      </c>
      <c r="E100" s="22">
        <v>7.9584189089842994E-3</v>
      </c>
      <c r="F100" s="22">
        <v>2925988222.8255219</v>
      </c>
      <c r="G100" s="23">
        <v>3.4176487526471855E-10</v>
      </c>
      <c r="H100" s="5"/>
      <c r="I100" s="5"/>
      <c r="J100" s="5"/>
    </row>
    <row r="101" spans="1:10" x14ac:dyDescent="0.25">
      <c r="A101" s="22">
        <v>6.1</v>
      </c>
      <c r="B101" s="22">
        <v>116.8394</v>
      </c>
      <c r="C101" s="22">
        <v>8.1423272829471607E-2</v>
      </c>
      <c r="D101" s="22">
        <v>74.751521723641176</v>
      </c>
      <c r="E101" s="22">
        <v>8.0930426214962381E-3</v>
      </c>
      <c r="F101" s="22">
        <v>2974025657.0587721</v>
      </c>
      <c r="G101" s="23">
        <v>3.3624457732115599E-10</v>
      </c>
      <c r="H101" s="5"/>
      <c r="I101" s="5"/>
      <c r="J101" s="5"/>
    </row>
    <row r="102" spans="1:10" x14ac:dyDescent="0.25">
      <c r="A102" s="22">
        <v>6.2</v>
      </c>
      <c r="B102" s="22">
        <v>120.7016</v>
      </c>
      <c r="C102" s="22">
        <v>8.2761111664775094E-2</v>
      </c>
      <c r="D102" s="22">
        <v>74.7432940135769</v>
      </c>
      <c r="E102" s="22">
        <v>8.227710064275584E-3</v>
      </c>
      <c r="F102" s="22">
        <v>3022047374.7562981</v>
      </c>
      <c r="G102" s="23">
        <v>3.3090149689683186E-10</v>
      </c>
      <c r="H102" s="5"/>
      <c r="I102" s="5"/>
      <c r="J102" s="5"/>
    </row>
    <row r="103" spans="1:10" x14ac:dyDescent="0.25">
      <c r="A103" s="22">
        <v>6.3</v>
      </c>
      <c r="B103" s="22">
        <v>124.6266</v>
      </c>
      <c r="C103" s="22">
        <v>8.4099098982683446E-2</v>
      </c>
      <c r="D103" s="22">
        <v>74.734931591592428</v>
      </c>
      <c r="E103" s="22">
        <v>8.3624219844722347E-3</v>
      </c>
      <c r="F103" s="22">
        <v>3070053107.5412197</v>
      </c>
      <c r="G103" s="23">
        <v>3.2572726430810564E-10</v>
      </c>
      <c r="H103" s="5"/>
      <c r="I103" s="5"/>
      <c r="J103" s="5"/>
    </row>
    <row r="104" spans="1:10" x14ac:dyDescent="0.25">
      <c r="A104" s="22">
        <v>6.4</v>
      </c>
      <c r="B104" s="22">
        <v>128.61440000000002</v>
      </c>
      <c r="C104" s="22">
        <v>8.5437237228730339E-2</v>
      </c>
      <c r="D104" s="22">
        <v>74.726434412462098</v>
      </c>
      <c r="E104" s="22">
        <v>8.4971791303303235E-3</v>
      </c>
      <c r="F104" s="22">
        <v>3118042587.2662568</v>
      </c>
      <c r="G104" s="23">
        <v>3.2071402875762185E-10</v>
      </c>
      <c r="H104" s="5"/>
      <c r="I104" s="5"/>
      <c r="J104" s="5"/>
    </row>
    <row r="105" spans="1:10" x14ac:dyDescent="0.25">
      <c r="A105" s="22">
        <v>6.5</v>
      </c>
      <c r="B105" s="22">
        <v>132.66499999999999</v>
      </c>
      <c r="C105" s="22">
        <v>8.6775528850910055E-2</v>
      </c>
      <c r="D105" s="22">
        <v>74.717802430210696</v>
      </c>
      <c r="E105" s="22">
        <v>8.6319822514013822E-3</v>
      </c>
      <c r="F105" s="22">
        <v>3166015545.9151001</v>
      </c>
      <c r="G105" s="23">
        <v>3.1585441874732222E-10</v>
      </c>
      <c r="H105" s="5"/>
      <c r="I105" s="5"/>
      <c r="J105" s="5"/>
    </row>
    <row r="106" spans="1:10" x14ac:dyDescent="0.25">
      <c r="A106" s="22">
        <v>6.6</v>
      </c>
      <c r="B106" s="22">
        <v>136.7784</v>
      </c>
      <c r="C106" s="22">
        <v>8.8113976299719274E-2</v>
      </c>
      <c r="D106" s="22">
        <v>74.709035598112223</v>
      </c>
      <c r="E106" s="22">
        <v>8.7668320984732873E-3</v>
      </c>
      <c r="F106" s="22">
        <v>3213971715.61057</v>
      </c>
      <c r="G106" s="23">
        <v>3.1114150605087895E-10</v>
      </c>
      <c r="H106" s="5"/>
      <c r="I106" s="5"/>
      <c r="J106" s="5"/>
    </row>
    <row r="107" spans="1:10" x14ac:dyDescent="0.25">
      <c r="A107" s="22">
        <v>6.7</v>
      </c>
      <c r="B107" s="22">
        <v>140.9546</v>
      </c>
      <c r="C107" s="22">
        <v>8.9452582028198488E-2</v>
      </c>
      <c r="D107" s="22">
        <v>74.700133868688624</v>
      </c>
      <c r="E107" s="22">
        <v>8.901729423598681E-3</v>
      </c>
      <c r="F107" s="22">
        <v>3261910828.5883427</v>
      </c>
      <c r="G107" s="23">
        <v>3.0656877289094078E-10</v>
      </c>
      <c r="H107" s="5"/>
      <c r="I107" s="5"/>
      <c r="J107" s="5"/>
    </row>
    <row r="108" spans="1:10" x14ac:dyDescent="0.25">
      <c r="A108" s="22">
        <v>6.8</v>
      </c>
      <c r="B108" s="22">
        <v>145.1936</v>
      </c>
      <c r="C108" s="22">
        <v>9.0791348491973498E-2</v>
      </c>
      <c r="D108" s="22">
        <v>74.69109719370843</v>
      </c>
      <c r="E108" s="22">
        <v>9.0366749801944479E-3</v>
      </c>
      <c r="F108" s="22">
        <v>3309832617.1465793</v>
      </c>
      <c r="G108" s="23">
        <v>3.0213008199251604E-10</v>
      </c>
      <c r="H108" s="5"/>
      <c r="I108" s="5"/>
      <c r="J108" s="5"/>
    </row>
    <row r="109" spans="1:10" x14ac:dyDescent="0.25">
      <c r="A109" s="22">
        <v>6.9</v>
      </c>
      <c r="B109" s="22">
        <v>149.49540000000002</v>
      </c>
      <c r="C109" s="22">
        <v>9.2130278149297515E-2</v>
      </c>
      <c r="D109" s="22">
        <v>74.681925524185573</v>
      </c>
      <c r="E109" s="22">
        <v>9.1716695228569733E-3</v>
      </c>
      <c r="F109" s="22">
        <v>3357736813.7013988</v>
      </c>
      <c r="G109" s="23">
        <v>2.9781964921117529E-10</v>
      </c>
      <c r="H109" s="5"/>
      <c r="I109" s="5"/>
      <c r="J109" s="5"/>
    </row>
    <row r="110" spans="1:10" x14ac:dyDescent="0.25">
      <c r="A110" s="22">
        <v>7</v>
      </c>
      <c r="B110" s="22">
        <v>153.86000000000001</v>
      </c>
      <c r="C110" s="22">
        <v>9.3469373461092783E-2</v>
      </c>
      <c r="D110" s="22">
        <v>74.672618810377884</v>
      </c>
      <c r="E110" s="22">
        <v>9.3067138076889933E-3</v>
      </c>
      <c r="F110" s="22">
        <v>3405623150.6564851</v>
      </c>
      <c r="G110" s="23">
        <v>2.9363201850657933E-10</v>
      </c>
      <c r="H110" s="5"/>
      <c r="I110" s="5"/>
      <c r="J110" s="5"/>
    </row>
    <row r="111" spans="1:10" x14ac:dyDescent="0.25">
      <c r="A111" s="22">
        <v>7.1</v>
      </c>
      <c r="B111" s="22">
        <v>158.28739999999999</v>
      </c>
      <c r="C111" s="22">
        <v>9.4808636890992615E-2</v>
      </c>
      <c r="D111" s="22">
        <v>74.663177001785826</v>
      </c>
      <c r="E111" s="22">
        <v>9.4418085920580097E-3</v>
      </c>
      <c r="F111" s="22">
        <v>3453491360.4823122</v>
      </c>
      <c r="G111" s="23">
        <v>2.8956203899706317E-10</v>
      </c>
      <c r="H111" s="5"/>
      <c r="I111" s="5"/>
      <c r="J111" s="5"/>
    </row>
    <row r="112" spans="1:10" x14ac:dyDescent="0.25">
      <c r="A112" s="22">
        <v>7.2</v>
      </c>
      <c r="B112" s="22">
        <v>162.77760000000001</v>
      </c>
      <c r="C112" s="22">
        <v>9.6148070905383784E-2</v>
      </c>
      <c r="D112" s="22">
        <v>74.653600047151102</v>
      </c>
      <c r="E112" s="22">
        <v>9.5769546347241885E-3</v>
      </c>
      <c r="F112" s="22">
        <v>3501341175.6612868</v>
      </c>
      <c r="G112" s="23">
        <v>2.8560484392416667E-10</v>
      </c>
      <c r="H112" s="5"/>
      <c r="I112" s="5"/>
      <c r="J112" s="5"/>
    </row>
    <row r="113" spans="1:10" x14ac:dyDescent="0.25">
      <c r="A113" s="22">
        <v>7.3</v>
      </c>
      <c r="B113" s="22">
        <v>167.3306</v>
      </c>
      <c r="C113" s="22">
        <v>9.7487677973448497E-2</v>
      </c>
      <c r="D113" s="22">
        <v>74.643887894455233</v>
      </c>
      <c r="E113" s="22">
        <v>9.7121526958687809E-3</v>
      </c>
      <c r="F113" s="22">
        <v>3549172328.6704922</v>
      </c>
      <c r="G113" s="23">
        <v>2.8175583133056732E-10</v>
      </c>
      <c r="H113" s="5"/>
      <c r="I113" s="5"/>
      <c r="J113" s="5"/>
    </row>
    <row r="114" spans="1:10" x14ac:dyDescent="0.25">
      <c r="A114" s="22">
        <v>7.4</v>
      </c>
      <c r="B114" s="22">
        <v>171.94640000000001</v>
      </c>
      <c r="C114" s="22">
        <v>9.8827460567206926E-2</v>
      </c>
      <c r="D114" s="22">
        <v>74.634040490918082</v>
      </c>
      <c r="E114" s="22">
        <v>9.8474035371509672E-3</v>
      </c>
      <c r="F114" s="22">
        <v>3596984551.9550967</v>
      </c>
      <c r="G114" s="23">
        <v>2.7801064629439743E-10</v>
      </c>
      <c r="H114" s="5"/>
      <c r="I114" s="5"/>
      <c r="J114" s="5"/>
    </row>
    <row r="115" spans="1:10" x14ac:dyDescent="0.25">
      <c r="A115" s="22">
        <v>7.5</v>
      </c>
      <c r="B115" s="22">
        <v>176.625</v>
      </c>
      <c r="C115" s="22">
        <v>0.1001674211615598</v>
      </c>
      <c r="D115" s="22">
        <v>74.624057782996502</v>
      </c>
      <c r="E115" s="22">
        <v>9.9827079215799586E-3</v>
      </c>
      <c r="F115" s="22">
        <v>3644777577.9701867</v>
      </c>
      <c r="G115" s="23">
        <v>2.7436516456977057E-10</v>
      </c>
      <c r="H115" s="5"/>
      <c r="I115" s="5"/>
      <c r="J115" s="5"/>
    </row>
    <row r="116" spans="1:10" x14ac:dyDescent="0.25">
      <c r="A116" s="22">
        <v>7.6</v>
      </c>
      <c r="B116" s="22">
        <v>181.3664</v>
      </c>
      <c r="C116" s="22">
        <v>0.10150756223433091</v>
      </c>
      <c r="D116" s="22">
        <v>74.61393971638276</v>
      </c>
      <c r="E116" s="22">
        <v>1.0118066613742371E-2</v>
      </c>
      <c r="F116" s="22">
        <v>3692551139.0936675</v>
      </c>
      <c r="G116" s="23">
        <v>2.7081547751981813E-10</v>
      </c>
      <c r="H116" s="5"/>
      <c r="I116" s="5"/>
      <c r="J116" s="5"/>
    </row>
    <row r="117" spans="1:10" x14ac:dyDescent="0.25">
      <c r="A117" s="22">
        <v>7.7</v>
      </c>
      <c r="B117" s="22">
        <v>186.17060000000001</v>
      </c>
      <c r="C117" s="22">
        <v>0.10284788626631006</v>
      </c>
      <c r="D117" s="22">
        <v>74.603686236003114</v>
      </c>
      <c r="E117" s="22">
        <v>1.0253480379645907E-2</v>
      </c>
      <c r="F117" s="22">
        <v>3740304967.6800976</v>
      </c>
      <c r="G117" s="23">
        <v>2.6735787820538178E-10</v>
      </c>
      <c r="H117" s="5"/>
      <c r="I117" s="5"/>
      <c r="J117" s="5"/>
    </row>
    <row r="118" spans="1:10" x14ac:dyDescent="0.25">
      <c r="A118" s="22">
        <v>7.8</v>
      </c>
      <c r="B118" s="22">
        <v>191.0376</v>
      </c>
      <c r="C118" s="22">
        <v>0.10418839574129586</v>
      </c>
      <c r="D118" s="22">
        <v>74.593297286016252</v>
      </c>
      <c r="E118" s="22">
        <v>1.0388949986861462E-2</v>
      </c>
      <c r="F118" s="22">
        <v>3788038796.0062656</v>
      </c>
      <c r="G118" s="23">
        <v>2.6398884854460873E-10</v>
      </c>
      <c r="H118" s="5"/>
      <c r="I118" s="5"/>
      <c r="J118" s="5"/>
    </row>
    <row r="119" spans="1:10" x14ac:dyDescent="0.25">
      <c r="A119" s="22">
        <v>7.9</v>
      </c>
      <c r="B119" s="22">
        <v>195.96740000000003</v>
      </c>
      <c r="C119" s="22">
        <v>0.10552909314613901</v>
      </c>
      <c r="D119" s="22">
        <v>74.582772809811786</v>
      </c>
      <c r="E119" s="22">
        <v>1.0524476204466282E-2</v>
      </c>
      <c r="F119" s="22">
        <v>3835752356.290041</v>
      </c>
      <c r="G119" s="23">
        <v>2.6070504743617106E-10</v>
      </c>
      <c r="H119" s="5"/>
      <c r="I119" s="5"/>
      <c r="J119" s="5"/>
    </row>
    <row r="120" spans="1:10" x14ac:dyDescent="0.25">
      <c r="A120" s="22">
        <v>8</v>
      </c>
      <c r="B120" s="22">
        <v>200.96</v>
      </c>
      <c r="C120" s="22">
        <v>0.10686998097078525</v>
      </c>
      <c r="D120" s="22">
        <v>74.572112750008628</v>
      </c>
      <c r="E120" s="22">
        <v>1.0660059803157651E-2</v>
      </c>
      <c r="F120" s="22">
        <v>3883445380.647624</v>
      </c>
      <c r="G120" s="23">
        <v>2.5750329977171837E-10</v>
      </c>
      <c r="H120" s="5"/>
      <c r="I120" s="5"/>
      <c r="J120" s="5"/>
    </row>
    <row r="121" spans="1:10" x14ac:dyDescent="0.25">
      <c r="A121" s="22">
        <v>8.1</v>
      </c>
      <c r="B121" s="22">
        <v>206.0154</v>
      </c>
      <c r="C121" s="22">
        <v>0.10821106170831885</v>
      </c>
      <c r="D121" s="22">
        <v>74.561317048453475</v>
      </c>
      <c r="E121" s="22">
        <v>1.0795701555153414E-2</v>
      </c>
      <c r="F121" s="22">
        <v>3931117601.1290646</v>
      </c>
      <c r="G121" s="23">
        <v>2.5438058625180481E-10</v>
      </c>
      <c r="H121" s="5"/>
      <c r="I121" s="5"/>
      <c r="J121" s="5"/>
    </row>
    <row r="122" spans="1:10" x14ac:dyDescent="0.25">
      <c r="A122" s="22">
        <v>8.1999999999999993</v>
      </c>
      <c r="B122" s="22">
        <v>211.13359999999997</v>
      </c>
      <c r="C122" s="22">
        <v>0.10955233785500622</v>
      </c>
      <c r="D122" s="22">
        <v>74.550385646219155</v>
      </c>
      <c r="E122" s="22">
        <v>1.0931402234319876E-2</v>
      </c>
      <c r="F122" s="22">
        <v>3978768749.6713958</v>
      </c>
      <c r="G122" s="23">
        <v>2.5133403394771044E-10</v>
      </c>
      <c r="H122" s="5"/>
      <c r="I122" s="5"/>
      <c r="J122" s="5"/>
    </row>
    <row r="123" spans="1:10" x14ac:dyDescent="0.25">
      <c r="A123" s="22">
        <v>8.3000000000000007</v>
      </c>
      <c r="B123" s="22">
        <v>216.31460000000007</v>
      </c>
      <c r="C123" s="22">
        <v>0.11089381191033941</v>
      </c>
      <c r="D123" s="22">
        <v>74.539318483602997</v>
      </c>
      <c r="E123" s="22">
        <v>1.1067162616157589E-2</v>
      </c>
      <c r="F123" s="22">
        <v>4026398558.1040549</v>
      </c>
      <c r="G123" s="23">
        <v>2.4836090753789626E-10</v>
      </c>
      <c r="H123" s="5"/>
      <c r="I123" s="5"/>
      <c r="J123" s="5"/>
    </row>
    <row r="124" spans="1:10" x14ac:dyDescent="0.25">
      <c r="A124" s="22">
        <v>8.4</v>
      </c>
      <c r="B124" s="22">
        <v>221.55840000000001</v>
      </c>
      <c r="C124" s="22">
        <v>0.1122354863770799</v>
      </c>
      <c r="D124" s="22">
        <v>74.528115500125182</v>
      </c>
      <c r="E124" s="22">
        <v>1.1202983477815565E-2</v>
      </c>
      <c r="F124" s="22">
        <v>4074006758.1443405</v>
      </c>
      <c r="G124" s="23">
        <v>2.4545860116724197E-10</v>
      </c>
      <c r="H124" s="5"/>
      <c r="I124" s="5"/>
      <c r="J124" s="5"/>
    </row>
    <row r="125" spans="1:10" x14ac:dyDescent="0.25">
      <c r="A125" s="22">
        <v>8.5</v>
      </c>
      <c r="B125" s="22">
        <v>226.86500000000001</v>
      </c>
      <c r="C125" s="22">
        <v>0.1135773637613027</v>
      </c>
      <c r="D125" s="22">
        <v>74.516776634527076</v>
      </c>
      <c r="E125" s="22">
        <v>1.1338865598105485E-2</v>
      </c>
      <c r="F125" s="22">
        <v>4121593081.3932939</v>
      </c>
      <c r="G125" s="23">
        <v>2.4262463087742582E-10</v>
      </c>
      <c r="H125" s="5"/>
      <c r="I125" s="5"/>
      <c r="J125" s="5"/>
    </row>
    <row r="126" spans="1:10" x14ac:dyDescent="0.25">
      <c r="A126" s="22">
        <v>8.6</v>
      </c>
      <c r="B126" s="22">
        <v>232.23439999999999</v>
      </c>
      <c r="C126" s="22">
        <v>0.11491944657244034</v>
      </c>
      <c r="D126" s="22">
        <v>74.505301824769489</v>
      </c>
      <c r="E126" s="22">
        <v>1.1474809757586968E-2</v>
      </c>
      <c r="F126" s="22">
        <v>4169157259.3060846</v>
      </c>
      <c r="G126" s="23">
        <v>2.3985662756372978E-10</v>
      </c>
      <c r="H126" s="5"/>
      <c r="I126" s="5"/>
      <c r="J126" s="5"/>
    </row>
    <row r="127" spans="1:10" x14ac:dyDescent="0.25">
      <c r="A127" s="22">
        <v>8.6999999999999993</v>
      </c>
      <c r="B127" s="22">
        <v>237.66659999999996</v>
      </c>
      <c r="C127" s="22">
        <v>0.11626173732332719</v>
      </c>
      <c r="D127" s="22">
        <v>74.493691008031007</v>
      </c>
      <c r="E127" s="22">
        <v>1.1610816738482299E-2</v>
      </c>
      <c r="F127" s="22">
        <v>4216699023.2247591</v>
      </c>
      <c r="G127" s="23">
        <v>2.3715233041110932E-10</v>
      </c>
      <c r="H127" s="5"/>
      <c r="I127" s="5"/>
      <c r="J127" s="5"/>
    </row>
    <row r="128" spans="1:10" x14ac:dyDescent="0.25">
      <c r="A128" s="22">
        <v>8.8000000000000007</v>
      </c>
      <c r="B128" s="22">
        <v>243.16160000000005</v>
      </c>
      <c r="C128" s="22">
        <v>0.11760423853024388</v>
      </c>
      <c r="D128" s="22">
        <v>74.481944120706189</v>
      </c>
      <c r="E128" s="22">
        <v>1.1746887324818545E-2</v>
      </c>
      <c r="F128" s="22">
        <v>4264218104.3286524</v>
      </c>
      <c r="G128" s="23">
        <v>2.3450958077985962E-10</v>
      </c>
      <c r="H128" s="5"/>
      <c r="I128" s="5"/>
      <c r="J128" s="5"/>
    </row>
    <row r="129" spans="1:10" x14ac:dyDescent="0.25">
      <c r="A129" s="22">
        <v>8.9</v>
      </c>
      <c r="B129" s="22">
        <v>248.71940000000004</v>
      </c>
      <c r="C129" s="22">
        <v>0.11894695271296182</v>
      </c>
      <c r="D129" s="22">
        <v>74.470061098403832</v>
      </c>
      <c r="E129" s="22">
        <v>1.1883022302356494E-2</v>
      </c>
      <c r="F129" s="22">
        <v>4311714233.662549</v>
      </c>
      <c r="G129" s="23">
        <v>2.3192631649675875E-10</v>
      </c>
      <c r="H129" s="5"/>
      <c r="I129" s="5"/>
      <c r="J129" s="5"/>
    </row>
    <row r="130" spans="1:10" x14ac:dyDescent="0.25">
      <c r="A130" s="22">
        <v>9</v>
      </c>
      <c r="B130" s="22">
        <v>254.34</v>
      </c>
      <c r="C130" s="22">
        <v>0.12028988239478806</v>
      </c>
      <c r="D130" s="22">
        <v>74.458041875945142</v>
      </c>
      <c r="E130" s="22">
        <v>1.2019222458690138E-2</v>
      </c>
      <c r="F130" s="22">
        <v>4359187142.1031952</v>
      </c>
      <c r="G130" s="23">
        <v>2.2940056652798939E-10</v>
      </c>
      <c r="H130" s="5"/>
      <c r="I130" s="5"/>
      <c r="J130" s="5"/>
    </row>
    <row r="131" spans="1:10" x14ac:dyDescent="0.25">
      <c r="A131" s="22">
        <v>9.1</v>
      </c>
      <c r="B131" s="22">
        <v>260.02339999999998</v>
      </c>
      <c r="C131" s="22">
        <v>0.12163303010261019</v>
      </c>
      <c r="D131" s="22">
        <v>74.445886387361924</v>
      </c>
      <c r="E131" s="22">
        <v>1.2155488583218244E-2</v>
      </c>
      <c r="F131" s="22">
        <v>4406636560.3724976</v>
      </c>
      <c r="G131" s="23">
        <v>2.2693044599881162E-10</v>
      </c>
      <c r="H131" s="5"/>
      <c r="I131" s="5"/>
      <c r="J131" s="5"/>
    </row>
    <row r="132" spans="1:10" x14ac:dyDescent="0.25">
      <c r="A132" s="22">
        <v>9.1999999999999993</v>
      </c>
      <c r="B132" s="22">
        <v>265.76959999999997</v>
      </c>
      <c r="C132" s="22">
        <v>0.1229763983669413</v>
      </c>
      <c r="D132" s="22">
        <v>74.433594565894779</v>
      </c>
      <c r="E132" s="22">
        <v>1.2291821467144359E-2</v>
      </c>
      <c r="F132" s="22">
        <v>4454062219.0406084</v>
      </c>
      <c r="G132" s="23">
        <v>2.2451415153679576E-10</v>
      </c>
      <c r="H132" s="5"/>
      <c r="I132" s="5"/>
      <c r="J132" s="5"/>
    </row>
    <row r="133" spans="1:10" x14ac:dyDescent="0.25">
      <c r="A133" s="22">
        <v>9.3000000000000007</v>
      </c>
      <c r="B133" s="22">
        <v>271.57860000000005</v>
      </c>
      <c r="C133" s="22">
        <v>0.12431998972196544</v>
      </c>
      <c r="D133" s="22">
        <v>74.421166343991146</v>
      </c>
      <c r="E133" s="22">
        <v>1.242822190363313E-2</v>
      </c>
      <c r="F133" s="22">
        <v>4501463848.4726124</v>
      </c>
      <c r="G133" s="23">
        <v>2.2214995691663927E-10</v>
      </c>
      <c r="H133" s="5"/>
      <c r="I133" s="5"/>
      <c r="J133" s="5"/>
    </row>
    <row r="134" spans="1:10" x14ac:dyDescent="0.25">
      <c r="A134" s="22">
        <v>9.4</v>
      </c>
      <c r="B134" s="22">
        <v>277.4504</v>
      </c>
      <c r="C134" s="22">
        <v>0.12566380670558278</v>
      </c>
      <c r="D134" s="22">
        <v>74.408601653303492</v>
      </c>
      <c r="E134" s="22">
        <v>1.2564690687653979E-2</v>
      </c>
      <c r="F134" s="22">
        <v>4548841178.8887157</v>
      </c>
      <c r="G134" s="23">
        <v>2.1983620897582106E-10</v>
      </c>
      <c r="H134" s="5"/>
      <c r="I134" s="5"/>
      <c r="J134" s="5"/>
    </row>
    <row r="135" spans="1:10" x14ac:dyDescent="0.25">
      <c r="A135" s="22">
        <v>9.5</v>
      </c>
      <c r="B135" s="22">
        <v>283.38499999999999</v>
      </c>
      <c r="C135" s="22">
        <v>0.12700785185945557</v>
      </c>
      <c r="D135" s="22">
        <v>74.395900424687383</v>
      </c>
      <c r="E135" s="22">
        <v>1.2701228616109006E-2</v>
      </c>
      <c r="F135" s="22">
        <v>4596193940.3216381</v>
      </c>
      <c r="G135" s="23">
        <v>2.1757132379188089E-10</v>
      </c>
      <c r="H135" s="5"/>
      <c r="I135" s="5"/>
      <c r="J135" s="5"/>
    </row>
    <row r="136" spans="1:10" x14ac:dyDescent="0.25">
      <c r="A136" s="22">
        <v>9.6</v>
      </c>
      <c r="B136" s="22">
        <v>289.38239999999996</v>
      </c>
      <c r="C136" s="22">
        <v>0.12835212772905358</v>
      </c>
      <c r="D136" s="22">
        <v>74.383062588199465</v>
      </c>
      <c r="E136" s="22">
        <v>1.2837836487918253E-2</v>
      </c>
      <c r="F136" s="22">
        <v>4643521862.5896854</v>
      </c>
      <c r="G136" s="23">
        <v>2.1535378309650112E-10</v>
      </c>
      <c r="H136" s="5"/>
      <c r="I136" s="5"/>
      <c r="J136" s="5"/>
    </row>
    <row r="137" spans="1:10" x14ac:dyDescent="0.25">
      <c r="A137" s="22">
        <v>9.6999999999999993</v>
      </c>
      <c r="B137" s="22">
        <v>295.44259999999997</v>
      </c>
      <c r="C137" s="22">
        <v>0.12969663686370025</v>
      </c>
      <c r="D137" s="22">
        <v>74.37008807309563</v>
      </c>
      <c r="E137" s="22">
        <v>1.297451510383496E-2</v>
      </c>
      <c r="F137" s="22">
        <v>4690824675.3677034</v>
      </c>
      <c r="G137" s="23">
        <v>2.1318213090571589E-10</v>
      </c>
      <c r="H137" s="5"/>
      <c r="I137" s="5"/>
      <c r="J137" s="5"/>
    </row>
    <row r="138" spans="1:10" x14ac:dyDescent="0.25">
      <c r="A138" s="22">
        <v>9.8000000000000007</v>
      </c>
      <c r="B138" s="22">
        <v>301.56560000000002</v>
      </c>
      <c r="C138" s="22">
        <v>0.13104138181661884</v>
      </c>
      <c r="D138" s="22">
        <v>74.356976807828872</v>
      </c>
      <c r="E138" s="22">
        <v>1.311126526675821E-2</v>
      </c>
      <c r="F138" s="22">
        <v>4738102108.0782337</v>
      </c>
      <c r="G138" s="23">
        <v>2.1105497036356575E-10</v>
      </c>
      <c r="H138" s="5"/>
      <c r="I138" s="5"/>
      <c r="J138" s="5"/>
    </row>
    <row r="139" spans="1:10" x14ac:dyDescent="0.25">
      <c r="A139" s="22">
        <v>9.9</v>
      </c>
      <c r="B139" s="22">
        <v>307.75140000000005</v>
      </c>
      <c r="C139" s="22">
        <v>0.13238636514497862</v>
      </c>
      <c r="D139" s="22">
        <v>74.343728720047395</v>
      </c>
      <c r="E139" s="22">
        <v>1.3248087781477125E-2</v>
      </c>
      <c r="F139" s="22">
        <v>4785353889.9884491</v>
      </c>
      <c r="G139" s="23">
        <v>2.0897096076679373E-10</v>
      </c>
      <c r="H139" s="5"/>
      <c r="I139" s="5"/>
      <c r="J139" s="5"/>
    </row>
    <row r="140" spans="1:10" x14ac:dyDescent="0.25">
      <c r="A140" s="22">
        <v>10</v>
      </c>
      <c r="B140" s="22">
        <v>314</v>
      </c>
      <c r="C140" s="22">
        <v>0.13373158940994154</v>
      </c>
      <c r="D140" s="22">
        <v>74.330343736592525</v>
      </c>
      <c r="E140" s="22">
        <v>1.3384983454869825E-2</v>
      </c>
      <c r="F140" s="22">
        <v>4832579750.1427755</v>
      </c>
      <c r="G140" s="23">
        <v>2.0692881477443919E-10</v>
      </c>
      <c r="H140" s="5"/>
      <c r="I140" s="5"/>
      <c r="J140" s="5"/>
    </row>
    <row r="141" spans="1:10" x14ac:dyDescent="0.25">
      <c r="A141" s="22">
        <v>10.1</v>
      </c>
      <c r="B141" s="22">
        <v>320.31139999999999</v>
      </c>
      <c r="C141" s="22">
        <v>0.13507705717670884</v>
      </c>
      <c r="D141" s="22">
        <v>74.316821783496636</v>
      </c>
      <c r="E141" s="22">
        <v>1.3521953095889216E-2</v>
      </c>
      <c r="F141" s="22">
        <v>4879779417.3727551</v>
      </c>
      <c r="G141" s="23">
        <v>2.0492729577895433E-10</v>
      </c>
      <c r="H141" s="5"/>
      <c r="I141" s="5"/>
      <c r="J141" s="5"/>
    </row>
    <row r="142" spans="1:10" x14ac:dyDescent="0.25">
      <c r="A142" s="22">
        <v>10.199999999999999</v>
      </c>
      <c r="B142" s="22">
        <v>326.68559999999997</v>
      </c>
      <c r="C142" s="22">
        <v>0.13642277101456807</v>
      </c>
      <c r="D142" s="22">
        <v>74.303162785981058</v>
      </c>
      <c r="E142" s="22">
        <v>1.3658997515577198E-2</v>
      </c>
      <c r="F142" s="22">
        <v>4926952620.2967587</v>
      </c>
      <c r="G142" s="23">
        <v>2.0296521543163699E-10</v>
      </c>
      <c r="H142" s="5"/>
      <c r="I142" s="5"/>
      <c r="J142" s="5"/>
    </row>
    <row r="143" spans="1:10" x14ac:dyDescent="0.25">
      <c r="A143" s="22">
        <v>10.3</v>
      </c>
      <c r="B143" s="22">
        <v>333.12260000000009</v>
      </c>
      <c r="C143" s="22">
        <v>0.13776873349694002</v>
      </c>
      <c r="D143" s="22">
        <v>74.289366668453965</v>
      </c>
      <c r="E143" s="22">
        <v>1.3796117527093088E-2</v>
      </c>
      <c r="F143" s="22">
        <v>4974099087.3146973</v>
      </c>
      <c r="G143" s="23">
        <v>2.0104143131170656E-10</v>
      </c>
      <c r="H143" s="5"/>
      <c r="I143" s="5"/>
      <c r="J143" s="5"/>
    </row>
    <row r="144" spans="1:10" x14ac:dyDescent="0.25">
      <c r="A144" s="22">
        <v>10.4</v>
      </c>
      <c r="B144" s="22">
        <v>339.62240000000008</v>
      </c>
      <c r="C144" s="22">
        <v>0.13911494720142606</v>
      </c>
      <c r="D144" s="22">
        <v>74.27543335450828</v>
      </c>
      <c r="E144" s="22">
        <v>1.39333139456852E-2</v>
      </c>
      <c r="F144" s="22">
        <v>5021218546.6233301</v>
      </c>
      <c r="G144" s="23">
        <v>1.9915484472837379E-10</v>
      </c>
      <c r="H144" s="5"/>
      <c r="I144" s="5"/>
      <c r="J144" s="5"/>
    </row>
    <row r="145" spans="1:10" x14ac:dyDescent="0.25">
      <c r="A145" s="22">
        <v>10.5</v>
      </c>
      <c r="B145" s="22">
        <v>346.185</v>
      </c>
      <c r="C145" s="22">
        <v>0.14046141470985582</v>
      </c>
      <c r="D145" s="22">
        <v>74.26136276691939</v>
      </c>
      <c r="E145" s="22">
        <v>1.4070587588889794E-2</v>
      </c>
      <c r="F145" s="22">
        <v>5068310726.1497717</v>
      </c>
      <c r="G145" s="23">
        <v>1.9730439865111959E-10</v>
      </c>
      <c r="H145" s="5"/>
      <c r="I145" s="5"/>
      <c r="J145" s="5"/>
    </row>
    <row r="146" spans="1:10" x14ac:dyDescent="0.25">
      <c r="A146" s="22">
        <v>10.6</v>
      </c>
      <c r="B146" s="22">
        <v>352.81039999999996</v>
      </c>
      <c r="C146" s="22">
        <v>0.14180813860833452</v>
      </c>
      <c r="D146" s="22">
        <v>74.247154827643058</v>
      </c>
      <c r="E146" s="22">
        <v>1.4207939276332127E-2</v>
      </c>
      <c r="F146" s="22">
        <v>5115375353.62852</v>
      </c>
      <c r="G146" s="23">
        <v>1.9548907575094445E-10</v>
      </c>
      <c r="H146" s="5"/>
      <c r="I146" s="5"/>
      <c r="J146" s="5"/>
    </row>
    <row r="147" spans="1:10" x14ac:dyDescent="0.25">
      <c r="A147" s="22">
        <v>10.7</v>
      </c>
      <c r="B147" s="22">
        <v>359.49859999999995</v>
      </c>
      <c r="C147" s="22">
        <v>0.14315512148729126</v>
      </c>
      <c r="D147" s="22">
        <v>74.23280945781319</v>
      </c>
      <c r="E147" s="22">
        <v>1.4345369829868559E-2</v>
      </c>
      <c r="F147" s="22">
        <v>5162412156.5556421</v>
      </c>
      <c r="G147" s="23">
        <v>1.9370789655570611E-10</v>
      </c>
      <c r="H147" s="5"/>
      <c r="I147" s="5"/>
      <c r="J147" s="5"/>
    </row>
    <row r="148" spans="1:10" x14ac:dyDescent="0.25">
      <c r="A148" s="22">
        <v>10.8</v>
      </c>
      <c r="B148" s="22">
        <v>366.2496000000001</v>
      </c>
      <c r="C148" s="22">
        <v>0.14450236594152688</v>
      </c>
      <c r="D148" s="22">
        <v>74.218326577739546</v>
      </c>
      <c r="E148" s="22">
        <v>1.44828800736434E-2</v>
      </c>
      <c r="F148" s="22">
        <v>5209420862.1738605</v>
      </c>
      <c r="G148" s="23">
        <v>1.919599177062277E-10</v>
      </c>
      <c r="H148" s="5"/>
      <c r="I148" s="5"/>
      <c r="J148" s="5"/>
    </row>
    <row r="149" spans="1:10" x14ac:dyDescent="0.25">
      <c r="A149" s="22">
        <v>10.9</v>
      </c>
      <c r="B149" s="22">
        <v>373.0634</v>
      </c>
      <c r="C149" s="22">
        <v>0.14584987457026224</v>
      </c>
      <c r="D149" s="22">
        <v>74.203706106905472</v>
      </c>
      <c r="E149" s="22">
        <v>1.4620470834074695E-2</v>
      </c>
      <c r="F149" s="22">
        <v>5256401197.4833078</v>
      </c>
      <c r="G149" s="23">
        <v>1.9024423030699904E-10</v>
      </c>
      <c r="H149" s="5"/>
      <c r="I149" s="5"/>
      <c r="J149" s="5"/>
    </row>
    <row r="150" spans="1:10" x14ac:dyDescent="0.25">
      <c r="A150" s="22">
        <v>11</v>
      </c>
      <c r="B150" s="22">
        <v>379.94</v>
      </c>
      <c r="C150" s="22">
        <v>0.14719764997718709</v>
      </c>
      <c r="D150" s="22">
        <v>74.188947963965632</v>
      </c>
      <c r="E150" s="22">
        <v>1.4758142939840013E-2</v>
      </c>
      <c r="F150" s="22">
        <v>5303352889.2523699</v>
      </c>
      <c r="G150" s="23">
        <v>1.885599583664464E-10</v>
      </c>
      <c r="H150" s="5"/>
      <c r="I150" s="5"/>
      <c r="J150" s="5"/>
    </row>
    <row r="151" spans="1:10" x14ac:dyDescent="0.25">
      <c r="A151" s="22">
        <v>11.1</v>
      </c>
      <c r="B151" s="22">
        <v>386.87939999999998</v>
      </c>
      <c r="C151" s="22">
        <v>0.14854569477050833</v>
      </c>
      <c r="D151" s="22">
        <v>74.17405206674367</v>
      </c>
      <c r="E151" s="22">
        <v>1.4895897221961718E-2</v>
      </c>
      <c r="F151" s="22">
        <v>5350275663.9928169</v>
      </c>
      <c r="G151" s="23">
        <v>1.8690625732239701E-10</v>
      </c>
      <c r="H151" s="5"/>
      <c r="I151" s="5"/>
      <c r="J151" s="5"/>
    </row>
    <row r="152" spans="1:10" x14ac:dyDescent="0.25">
      <c r="A152" s="22">
        <v>11.2</v>
      </c>
      <c r="B152" s="22">
        <v>393.88159999999999</v>
      </c>
      <c r="C152" s="22">
        <v>0.14989401156299942</v>
      </c>
      <c r="D152" s="22">
        <v>74.159018332229834</v>
      </c>
      <c r="E152" s="22">
        <v>1.5033734513835384E-2</v>
      </c>
      <c r="F152" s="22">
        <v>5397169247.9555283</v>
      </c>
      <c r="G152" s="23">
        <v>1.8528231264543065E-10</v>
      </c>
      <c r="H152" s="5"/>
      <c r="I152" s="5"/>
      <c r="J152" s="5"/>
    </row>
    <row r="153" spans="1:10" x14ac:dyDescent="0.25">
      <c r="A153" s="22">
        <v>11.3</v>
      </c>
      <c r="B153" s="22">
        <v>400.9466000000001</v>
      </c>
      <c r="C153" s="22">
        <v>0.15124260297204922</v>
      </c>
      <c r="D153" s="22">
        <v>74.143846676578633</v>
      </c>
      <c r="E153" s="22">
        <v>1.5171655651201377E-2</v>
      </c>
      <c r="F153" s="22">
        <v>5444033367.1466961</v>
      </c>
      <c r="G153" s="23">
        <v>1.8368733851536179E-10</v>
      </c>
      <c r="H153" s="5"/>
      <c r="I153" s="5"/>
      <c r="J153" s="5"/>
    </row>
    <row r="154" spans="1:10" x14ac:dyDescent="0.25">
      <c r="A154" s="22">
        <v>11.4</v>
      </c>
      <c r="B154" s="22">
        <v>408.07440000000003</v>
      </c>
      <c r="C154" s="22">
        <v>0.15259147161971165</v>
      </c>
      <c r="D154" s="22">
        <v>74.128537015106403</v>
      </c>
      <c r="E154" s="22">
        <v>1.5309661472230118E-2</v>
      </c>
      <c r="F154" s="22">
        <v>5490867747.3032799</v>
      </c>
      <c r="G154" s="23">
        <v>1.8212057656845373E-10</v>
      </c>
      <c r="H154" s="5"/>
      <c r="I154" s="5"/>
      <c r="J154" s="5"/>
    </row>
    <row r="155" spans="1:10" x14ac:dyDescent="0.25">
      <c r="A155" s="22">
        <v>11.5</v>
      </c>
      <c r="B155" s="22">
        <v>415.26499999999999</v>
      </c>
      <c r="C155" s="22">
        <v>0.15394062013275517</v>
      </c>
      <c r="D155" s="22">
        <v>74.113089262288881</v>
      </c>
      <c r="E155" s="22">
        <v>1.5447752817522087E-2</v>
      </c>
      <c r="F155" s="22">
        <v>5537672113.899209</v>
      </c>
      <c r="G155" s="23">
        <v>1.80581294708667E-10</v>
      </c>
      <c r="H155" s="5"/>
      <c r="I155" s="5"/>
      <c r="J155" s="5"/>
    </row>
    <row r="156" spans="1:10" x14ac:dyDescent="0.25">
      <c r="A156" s="22">
        <v>11.6</v>
      </c>
      <c r="B156" s="22">
        <v>422.51839999999999</v>
      </c>
      <c r="C156" s="22">
        <v>0.1552900511427128</v>
      </c>
      <c r="D156" s="22">
        <v>74.097503331758759</v>
      </c>
      <c r="E156" s="22">
        <v>1.5585930530122027E-2</v>
      </c>
      <c r="F156" s="22">
        <v>5584446192.1465101</v>
      </c>
      <c r="G156" s="23">
        <v>1.7906878598030273E-10</v>
      </c>
      <c r="H156" s="5"/>
      <c r="I156" s="5"/>
      <c r="J156" s="5"/>
    </row>
    <row r="157" spans="1:10" x14ac:dyDescent="0.25">
      <c r="A157" s="22">
        <v>11.7</v>
      </c>
      <c r="B157" s="22">
        <v>429.83459999999997</v>
      </c>
      <c r="C157" s="22">
        <v>0.1566397672859319</v>
      </c>
      <c r="D157" s="22">
        <v>74.081779136303155</v>
      </c>
      <c r="E157" s="22">
        <v>1.5724195455604217E-2</v>
      </c>
      <c r="F157" s="22">
        <v>5631189706.9710855</v>
      </c>
      <c r="G157" s="23">
        <v>1.7758236749901325E-10</v>
      </c>
      <c r="H157" s="5"/>
      <c r="I157" s="5"/>
      <c r="J157" s="5"/>
    </row>
    <row r="158" spans="1:10" x14ac:dyDescent="0.25">
      <c r="A158" s="22">
        <v>11.8</v>
      </c>
      <c r="B158" s="22">
        <v>437.2136000000001</v>
      </c>
      <c r="C158" s="22">
        <v>0.15798977120362501</v>
      </c>
      <c r="D158" s="22">
        <v>74.065916587861111</v>
      </c>
      <c r="E158" s="22">
        <v>1.5862548442044044E-2</v>
      </c>
      <c r="F158" s="22">
        <v>5677902383.0293274</v>
      </c>
      <c r="G158" s="23">
        <v>1.7612137943563424E-10</v>
      </c>
      <c r="H158" s="5"/>
      <c r="I158" s="5"/>
      <c r="J158" s="5"/>
    </row>
    <row r="159" spans="1:10" x14ac:dyDescent="0.25">
      <c r="A159" s="22">
        <v>11.9</v>
      </c>
      <c r="B159" s="22">
        <v>444.65539999999999</v>
      </c>
      <c r="C159" s="22">
        <v>0.15934006554191985</v>
      </c>
      <c r="D159" s="22">
        <v>74.049915597521107</v>
      </c>
      <c r="E159" s="22">
        <v>1.6000990340003796E-2</v>
      </c>
      <c r="F159" s="22">
        <v>5724583944.7196531</v>
      </c>
      <c r="G159" s="23">
        <v>1.7468518405121797E-10</v>
      </c>
      <c r="H159" s="5"/>
      <c r="I159" s="5"/>
      <c r="J159" s="5"/>
    </row>
    <row r="160" spans="1:10" x14ac:dyDescent="0.25">
      <c r="A160" s="22">
        <v>12</v>
      </c>
      <c r="B160" s="22">
        <v>452.15999999999997</v>
      </c>
      <c r="C160" s="22">
        <v>0.1606906529519106</v>
      </c>
      <c r="D160" s="22">
        <v>74.033776075518389</v>
      </c>
      <c r="E160" s="22">
        <v>1.6139522002717399E-2</v>
      </c>
      <c r="F160" s="22">
        <v>5771234116.1229715</v>
      </c>
      <c r="G160" s="23">
        <v>1.7327316478226411E-10</v>
      </c>
      <c r="H160" s="5"/>
      <c r="I160" s="5"/>
      <c r="J160" s="5"/>
    </row>
    <row r="161" spans="1:10" x14ac:dyDescent="0.25">
      <c r="A161" s="22">
        <v>12.1</v>
      </c>
      <c r="B161" s="22">
        <v>459.72739999999999</v>
      </c>
      <c r="C161" s="22">
        <v>0.16204153608970867</v>
      </c>
      <c r="D161" s="22">
        <v>74.017497931232455</v>
      </c>
      <c r="E161" s="22">
        <v>1.6278144285934104E-2</v>
      </c>
      <c r="F161" s="22">
        <v>5817852621.0652466</v>
      </c>
      <c r="G161" s="23">
        <v>1.7188472536743297E-10</v>
      </c>
      <c r="H161" s="5"/>
      <c r="I161" s="5"/>
      <c r="J161" s="5"/>
    </row>
    <row r="162" spans="1:10" x14ac:dyDescent="0.25">
      <c r="A162" s="22">
        <v>12.2</v>
      </c>
      <c r="B162" s="22">
        <v>467.35759999999999</v>
      </c>
      <c r="C162" s="22">
        <v>0.16339271761649418</v>
      </c>
      <c r="D162" s="22">
        <v>74.001081073184338</v>
      </c>
      <c r="E162" s="22">
        <v>1.6416858048117433E-2</v>
      </c>
      <c r="F162" s="22">
        <v>5864439183.0530682</v>
      </c>
      <c r="G162" s="23">
        <v>1.7051928902081188E-10</v>
      </c>
      <c r="H162" s="5"/>
      <c r="I162" s="5"/>
      <c r="J162" s="5"/>
    </row>
    <row r="163" spans="1:10" x14ac:dyDescent="0.25">
      <c r="A163" s="22">
        <v>12.3</v>
      </c>
      <c r="B163" s="22">
        <v>475.05060000000009</v>
      </c>
      <c r="C163" s="22">
        <v>0.16474420019856731</v>
      </c>
      <c r="D163" s="22">
        <v>73.984525409034021</v>
      </c>
      <c r="E163" s="22">
        <v>1.6555664150317284E-2</v>
      </c>
      <c r="F163" s="22">
        <v>5910993525.3261681</v>
      </c>
      <c r="G163" s="23">
        <v>1.6917629764191292E-10</v>
      </c>
      <c r="H163" s="5"/>
      <c r="I163" s="5"/>
      <c r="J163" s="5"/>
    </row>
    <row r="164" spans="1:10" x14ac:dyDescent="0.25">
      <c r="A164" s="22">
        <v>12.4</v>
      </c>
      <c r="B164" s="22">
        <v>482.8064</v>
      </c>
      <c r="C164" s="22">
        <v>0.16609598650740029</v>
      </c>
      <c r="D164" s="22">
        <v>73.967830845577737</v>
      </c>
      <c r="E164" s="22">
        <v>1.6694563456283618E-2</v>
      </c>
      <c r="F164" s="22">
        <v>5957515370.8236237</v>
      </c>
      <c r="G164" s="23">
        <v>1.6785521106624531E-10</v>
      </c>
      <c r="H164" s="5"/>
      <c r="I164" s="5"/>
      <c r="J164" s="5"/>
    </row>
    <row r="165" spans="1:10" x14ac:dyDescent="0.25">
      <c r="A165" s="22">
        <v>12.5</v>
      </c>
      <c r="B165" s="22">
        <v>490.625</v>
      </c>
      <c r="C165" s="22">
        <v>0.16744807921968935</v>
      </c>
      <c r="D165" s="22">
        <v>73.950997288745199</v>
      </c>
      <c r="E165" s="22">
        <v>1.6833556832537511E-2</v>
      </c>
      <c r="F165" s="22">
        <v>6004004442.1654634</v>
      </c>
      <c r="G165" s="23">
        <v>1.6655550635124616E-10</v>
      </c>
      <c r="H165" s="5"/>
      <c r="I165" s="5"/>
      <c r="J165" s="5"/>
    </row>
    <row r="166" spans="1:10" x14ac:dyDescent="0.25">
      <c r="A166" s="22">
        <v>12.6</v>
      </c>
      <c r="B166" s="22">
        <v>498.50639999999999</v>
      </c>
      <c r="C166" s="22">
        <v>0.16880048101740702</v>
      </c>
      <c r="D166" s="22">
        <v>73.934024643596942</v>
      </c>
      <c r="E166" s="22">
        <v>1.697264514825747E-2</v>
      </c>
      <c r="F166" s="22">
        <v>6050460461.7002258</v>
      </c>
      <c r="G166" s="23">
        <v>1.6527667709425745E-10</v>
      </c>
      <c r="H166" s="5"/>
      <c r="I166" s="5"/>
      <c r="J166" s="5"/>
    </row>
    <row r="167" spans="1:10" x14ac:dyDescent="0.25">
      <c r="A167" s="22">
        <v>12.7</v>
      </c>
      <c r="B167" s="22">
        <v>506.45059999999995</v>
      </c>
      <c r="C167" s="22">
        <v>0.17015319458785494</v>
      </c>
      <c r="D167" s="22">
        <v>73.916912814321449</v>
      </c>
      <c r="E167" s="22">
        <v>1.7111829275492596E-2</v>
      </c>
      <c r="F167" s="22">
        <v>6096883151.4359932</v>
      </c>
      <c r="G167" s="23">
        <v>1.6401823278579168E-10</v>
      </c>
      <c r="H167" s="5"/>
      <c r="I167" s="5"/>
      <c r="J167" s="5"/>
    </row>
    <row r="168" spans="1:10" x14ac:dyDescent="0.25">
      <c r="A168" s="22">
        <v>12.8</v>
      </c>
      <c r="B168" s="22">
        <v>514.45760000000007</v>
      </c>
      <c r="C168" s="22">
        <v>0.17150622262371623</v>
      </c>
      <c r="D168" s="22">
        <v>73.899661704232443</v>
      </c>
      <c r="E168" s="22">
        <v>1.7251110089006261E-2</v>
      </c>
      <c r="F168" s="22">
        <v>6143272233.1032801</v>
      </c>
      <c r="G168" s="23">
        <v>1.6277969818942064E-10</v>
      </c>
      <c r="H168" s="5"/>
      <c r="I168" s="5"/>
      <c r="J168" s="5"/>
    </row>
    <row r="169" spans="1:10" x14ac:dyDescent="0.25">
      <c r="A169" s="22">
        <v>12.9</v>
      </c>
      <c r="B169" s="22">
        <v>522.52740000000006</v>
      </c>
      <c r="C169" s="22">
        <v>0.17285956782310907</v>
      </c>
      <c r="D169" s="22">
        <v>73.882271215765968</v>
      </c>
      <c r="E169" s="22">
        <v>1.7390488466475063E-2</v>
      </c>
      <c r="F169" s="22">
        <v>6189627428.0913315</v>
      </c>
      <c r="G169" s="23">
        <v>1.6156061275377371E-10</v>
      </c>
      <c r="H169" s="5"/>
      <c r="I169" s="5"/>
      <c r="J169" s="5"/>
    </row>
    <row r="170" spans="1:10" x14ac:dyDescent="0.25">
      <c r="A170" s="22">
        <v>13</v>
      </c>
      <c r="B170" s="22">
        <v>530.66</v>
      </c>
      <c r="C170" s="22">
        <v>0.17421323288963991</v>
      </c>
      <c r="D170" s="22">
        <v>73.86474125047755</v>
      </c>
      <c r="E170" s="22">
        <v>1.752996528841777E-2</v>
      </c>
      <c r="F170" s="22">
        <v>6235948457.4807568</v>
      </c>
      <c r="G170" s="23">
        <v>1.6036053004902277E-10</v>
      </c>
      <c r="H170" s="5"/>
      <c r="I170" s="5"/>
      <c r="J170" s="5"/>
    </row>
    <row r="171" spans="1:10" x14ac:dyDescent="0.25">
      <c r="A171" s="22">
        <v>13.1</v>
      </c>
      <c r="B171" s="22">
        <v>538.85540000000003</v>
      </c>
      <c r="C171" s="22">
        <v>0.17556722053245696</v>
      </c>
      <c r="D171" s="22">
        <v>73.847071709039341</v>
      </c>
      <c r="E171" s="22">
        <v>1.7669541438209535E-2</v>
      </c>
      <c r="F171" s="22">
        <v>6282235042.045784</v>
      </c>
      <c r="G171" s="23">
        <v>1.5917901722988609E-10</v>
      </c>
      <c r="H171" s="5"/>
      <c r="I171" s="5"/>
      <c r="J171" s="5"/>
    </row>
    <row r="172" spans="1:10" x14ac:dyDescent="0.25">
      <c r="A172" s="22">
        <v>13.2</v>
      </c>
      <c r="B172" s="22">
        <v>547.11360000000002</v>
      </c>
      <c r="C172" s="22">
        <v>0.17692153346630435</v>
      </c>
      <c r="D172" s="22">
        <v>73.829262491237174</v>
      </c>
      <c r="E172" s="22">
        <v>1.7809217802167154E-2</v>
      </c>
      <c r="F172" s="22">
        <v>6328486902.2313375</v>
      </c>
      <c r="G172" s="23">
        <v>1.5801565452358188E-10</v>
      </c>
      <c r="H172" s="5"/>
      <c r="I172" s="5"/>
      <c r="J172" s="5"/>
    </row>
    <row r="173" spans="1:10" x14ac:dyDescent="0.25">
      <c r="A173" s="22">
        <v>13.3</v>
      </c>
      <c r="B173" s="22">
        <v>555.43460000000005</v>
      </c>
      <c r="C173" s="22">
        <v>0.17827617441157628</v>
      </c>
      <c r="D173" s="22">
        <v>73.811313495967539</v>
      </c>
      <c r="E173" s="22">
        <v>1.7948995269634338E-2</v>
      </c>
      <c r="F173" s="22">
        <v>6374703758.1302452</v>
      </c>
      <c r="G173" s="23">
        <v>1.5687003474076865E-10</v>
      </c>
      <c r="H173" s="5"/>
      <c r="I173" s="5"/>
      <c r="J173" s="5"/>
    </row>
    <row r="174" spans="1:10" x14ac:dyDescent="0.25">
      <c r="A174" s="22">
        <v>13.4</v>
      </c>
      <c r="B174" s="22">
        <v>563.8184</v>
      </c>
      <c r="C174" s="22">
        <v>0.17963114609437139</v>
      </c>
      <c r="D174" s="22">
        <v>73.793224621234714</v>
      </c>
      <c r="E174" s="22">
        <v>1.8088874732825388E-2</v>
      </c>
      <c r="F174" s="22">
        <v>6420885329.54634</v>
      </c>
      <c r="G174" s="23">
        <v>1.5574176280619759E-10</v>
      </c>
      <c r="H174" s="5"/>
      <c r="I174" s="5"/>
      <c r="J174" s="5"/>
    </row>
    <row r="175" spans="1:10" x14ac:dyDescent="0.25">
      <c r="A175" s="22">
        <v>13.5</v>
      </c>
      <c r="B175" s="22">
        <v>572.26499999999999</v>
      </c>
      <c r="C175" s="22">
        <v>0.18098645124654769</v>
      </c>
      <c r="D175" s="22">
        <v>73.774995764147619</v>
      </c>
      <c r="E175" s="22">
        <v>1.8228857087095207E-2</v>
      </c>
      <c r="F175" s="22">
        <v>6467031335.9061718</v>
      </c>
      <c r="G175" s="23">
        <v>1.5463045531383346E-10</v>
      </c>
      <c r="H175" s="5"/>
      <c r="I175" s="5"/>
      <c r="J175" s="5"/>
    </row>
    <row r="176" spans="1:10" x14ac:dyDescent="0.25">
      <c r="A176" s="22">
        <v>13.6</v>
      </c>
      <c r="B176" s="22">
        <v>580.77440000000001</v>
      </c>
      <c r="C176" s="22">
        <v>0.18234209260577758</v>
      </c>
      <c r="D176" s="22">
        <v>73.756626820916921</v>
      </c>
      <c r="E176" s="22">
        <v>1.836894323069771E-2</v>
      </c>
      <c r="F176" s="22">
        <v>6513141496.3524675</v>
      </c>
      <c r="G176" s="23">
        <v>1.5353574009715995E-10</v>
      </c>
      <c r="H176" s="5"/>
      <c r="I176" s="5"/>
      <c r="J176" s="5"/>
    </row>
    <row r="177" spans="1:10" x14ac:dyDescent="0.25">
      <c r="A177" s="22">
        <v>13.7</v>
      </c>
      <c r="B177" s="22">
        <v>589.34659999999997</v>
      </c>
      <c r="C177" s="22">
        <v>0.18369807291560314</v>
      </c>
      <c r="D177" s="22">
        <v>73.738117686851751</v>
      </c>
      <c r="E177" s="22">
        <v>1.8509134065169519E-2</v>
      </c>
      <c r="F177" s="22">
        <v>6559215529.6157598</v>
      </c>
      <c r="G177" s="23">
        <v>1.5245725582348416E-10</v>
      </c>
      <c r="H177" s="5"/>
      <c r="I177" s="5"/>
      <c r="J177" s="5"/>
    </row>
    <row r="178" spans="1:10" x14ac:dyDescent="0.25">
      <c r="A178" s="22">
        <v>13.8</v>
      </c>
      <c r="B178" s="22">
        <v>597.98160000000007</v>
      </c>
      <c r="C178" s="22">
        <v>0.18505439492549194</v>
      </c>
      <c r="D178" s="22">
        <v>73.719468256356819</v>
      </c>
      <c r="E178" s="22">
        <v>1.8649430494932062E-2</v>
      </c>
      <c r="F178" s="22">
        <v>6605253154.1633415</v>
      </c>
      <c r="G178" s="23">
        <v>1.513946515993399E-10</v>
      </c>
      <c r="H178" s="5"/>
      <c r="I178" s="5"/>
      <c r="J178" s="5"/>
    </row>
    <row r="179" spans="1:10" x14ac:dyDescent="0.25">
      <c r="A179" s="22">
        <v>13.9</v>
      </c>
      <c r="B179" s="22">
        <v>606.67939999999999</v>
      </c>
      <c r="C179" s="22">
        <v>0.18641106139089286</v>
      </c>
      <c r="D179" s="22">
        <v>73.700678422929059</v>
      </c>
      <c r="E179" s="22">
        <v>1.8789833427760527E-2</v>
      </c>
      <c r="F179" s="22">
        <v>6651254088.0409117</v>
      </c>
      <c r="G179" s="23">
        <v>1.5034758659994964E-10</v>
      </c>
      <c r="H179" s="5"/>
      <c r="I179" s="5"/>
      <c r="J179" s="5"/>
    </row>
    <row r="180" spans="1:10" x14ac:dyDescent="0.25">
      <c r="A180" s="22">
        <v>14</v>
      </c>
      <c r="B180" s="22">
        <v>615.44000000000005</v>
      </c>
      <c r="C180" s="22">
        <v>0.18776807507329238</v>
      </c>
      <c r="D180" s="22">
        <v>73.681748079154588</v>
      </c>
      <c r="E180" s="22">
        <v>1.8930343774471226E-2</v>
      </c>
      <c r="F180" s="22">
        <v>6697218048.9913654</v>
      </c>
      <c r="G180" s="23">
        <v>1.4931572970818907E-10</v>
      </c>
      <c r="H180" s="5"/>
      <c r="I180" s="5"/>
      <c r="J180" s="5"/>
    </row>
    <row r="181" spans="1:10" x14ac:dyDescent="0.25">
      <c r="A181" s="22">
        <v>14.1</v>
      </c>
      <c r="B181" s="22">
        <v>624.26340000000005</v>
      </c>
      <c r="C181" s="22">
        <v>0.18912543874027107</v>
      </c>
      <c r="D181" s="22">
        <v>73.662677116705453</v>
      </c>
      <c r="E181" s="22">
        <v>1.9070962449134754E-2</v>
      </c>
      <c r="F181" s="22">
        <v>6743144754.38729</v>
      </c>
      <c r="G181" s="23">
        <v>1.482987591730654E-10</v>
      </c>
      <c r="H181" s="5"/>
      <c r="I181" s="5"/>
      <c r="J181" s="5"/>
    </row>
    <row r="182" spans="1:10" x14ac:dyDescent="0.25">
      <c r="A182" s="22">
        <v>14.2</v>
      </c>
      <c r="B182" s="22">
        <v>633.14959999999996</v>
      </c>
      <c r="C182" s="22">
        <v>0.19048315516556091</v>
      </c>
      <c r="D182" s="22">
        <v>73.643465426336363</v>
      </c>
      <c r="E182" s="22">
        <v>1.9211690369090206E-2</v>
      </c>
      <c r="F182" s="22">
        <v>6789033921.2341061</v>
      </c>
      <c r="G182" s="23">
        <v>1.4729636228098574E-10</v>
      </c>
      <c r="H182" s="5"/>
      <c r="I182" s="5"/>
      <c r="J182" s="5"/>
    </row>
    <row r="183" spans="1:10" x14ac:dyDescent="0.25">
      <c r="A183" s="22">
        <v>14.3</v>
      </c>
      <c r="B183" s="22">
        <v>642.09860000000003</v>
      </c>
      <c r="C183" s="22">
        <v>0.19184122712910176</v>
      </c>
      <c r="D183" s="22">
        <v>73.624112897881488</v>
      </c>
      <c r="E183" s="22">
        <v>1.9352528454874118E-2</v>
      </c>
      <c r="F183" s="22">
        <v>6834885266.2033405</v>
      </c>
      <c r="G183" s="23">
        <v>1.4630823504013003E-10</v>
      </c>
      <c r="H183" s="5"/>
      <c r="I183" s="5"/>
      <c r="J183" s="5"/>
    </row>
    <row r="184" spans="1:10" x14ac:dyDescent="0.25">
      <c r="A184" s="22">
        <v>14.4</v>
      </c>
      <c r="B184" s="22">
        <v>651.11040000000003</v>
      </c>
      <c r="C184" s="22">
        <v>0.19319965741709941</v>
      </c>
      <c r="D184" s="22">
        <v>73.604619420251069</v>
      </c>
      <c r="E184" s="22">
        <v>1.949347763041942E-2</v>
      </c>
      <c r="F184" s="22">
        <v>6880698505.5705576</v>
      </c>
      <c r="G184" s="23">
        <v>1.4533408187997312E-10</v>
      </c>
      <c r="H184" s="5"/>
      <c r="I184" s="5"/>
      <c r="J184" s="5"/>
    </row>
    <row r="185" spans="1:10" x14ac:dyDescent="0.25">
      <c r="A185" s="22">
        <v>14.5</v>
      </c>
      <c r="B185" s="22">
        <v>660.18500000000006</v>
      </c>
      <c r="C185" s="22">
        <v>0.19455844882208326</v>
      </c>
      <c r="D185" s="22">
        <v>73.584984881428085</v>
      </c>
      <c r="E185" s="22">
        <v>1.9634538822984382E-2</v>
      </c>
      <c r="F185" s="22">
        <v>6926473355.2488279</v>
      </c>
      <c r="G185" s="23">
        <v>1.4437361536115746E-10</v>
      </c>
      <c r="H185" s="5"/>
      <c r="I185" s="5"/>
      <c r="J185" s="5"/>
    </row>
    <row r="186" spans="1:10" x14ac:dyDescent="0.25">
      <c r="A186" s="22">
        <v>14.6</v>
      </c>
      <c r="B186" s="22">
        <v>669.32240000000002</v>
      </c>
      <c r="C186" s="22">
        <v>0.19591760414296447</v>
      </c>
      <c r="D186" s="22">
        <v>73.56520916846496</v>
      </c>
      <c r="E186" s="22">
        <v>1.9775712963124192E-2</v>
      </c>
      <c r="F186" s="22">
        <v>6972209530.8070993</v>
      </c>
      <c r="G186" s="23">
        <v>1.4342655589758798E-10</v>
      </c>
      <c r="H186" s="5"/>
      <c r="I186" s="5"/>
      <c r="J186" s="5"/>
    </row>
    <row r="187" spans="1:10" x14ac:dyDescent="0.25">
      <c r="A187" s="22">
        <v>14.7</v>
      </c>
      <c r="B187" s="22">
        <v>678.52260000000001</v>
      </c>
      <c r="C187" s="22">
        <v>0.19727712618509433</v>
      </c>
      <c r="D187" s="22">
        <v>73.545292167480042</v>
      </c>
      <c r="E187" s="22">
        <v>1.9917000984918332E-2</v>
      </c>
      <c r="F187" s="22">
        <v>7017906747.3984528</v>
      </c>
      <c r="G187" s="23">
        <v>1.4249263149167682E-10</v>
      </c>
      <c r="H187" s="5"/>
      <c r="I187" s="5"/>
      <c r="J187" s="5"/>
    </row>
    <row r="188" spans="1:10" x14ac:dyDescent="0.25">
      <c r="A188" s="22">
        <v>14.8</v>
      </c>
      <c r="B188" s="22">
        <v>687.78560000000004</v>
      </c>
      <c r="C188" s="22">
        <v>0.19863701776032333</v>
      </c>
      <c r="D188" s="22">
        <v>73.525233763654228</v>
      </c>
      <c r="E188" s="22">
        <v>2.0058403825814253E-2</v>
      </c>
      <c r="F188" s="22">
        <v>7063564719.8237867</v>
      </c>
      <c r="G188" s="23">
        <v>1.4157157747751858E-10</v>
      </c>
      <c r="H188" s="5"/>
      <c r="I188" s="5"/>
      <c r="J188" s="5"/>
    </row>
    <row r="189" spans="1:10" x14ac:dyDescent="0.25">
      <c r="A189" s="22">
        <v>14.9</v>
      </c>
      <c r="B189" s="22">
        <v>697.1114</v>
      </c>
      <c r="C189" s="22">
        <v>0.19999728168706005</v>
      </c>
      <c r="D189" s="22">
        <v>73.505033841227501</v>
      </c>
      <c r="E189" s="22">
        <v>2.0199922426726857E-2</v>
      </c>
      <c r="F189" s="22">
        <v>7109183162.505312</v>
      </c>
      <c r="G189" s="23">
        <v>1.4066313627620686E-10</v>
      </c>
      <c r="H189" s="5"/>
      <c r="I189" s="5"/>
      <c r="J189" s="5"/>
    </row>
    <row r="190" spans="1:10" x14ac:dyDescent="0.25">
      <c r="A190" s="22">
        <v>15</v>
      </c>
      <c r="B190" s="22">
        <v>706.5</v>
      </c>
      <c r="C190" s="22">
        <v>0.20135792079033082</v>
      </c>
      <c r="D190" s="22">
        <v>73.484692283495335</v>
      </c>
      <c r="E190" s="22">
        <v>2.0341557732166393E-2</v>
      </c>
      <c r="F190" s="22">
        <v>7154761789.4502306</v>
      </c>
      <c r="G190" s="23">
        <v>1.397670571610798E-10</v>
      </c>
      <c r="H190" s="5"/>
      <c r="I190" s="5"/>
      <c r="J190" s="5"/>
    </row>
    <row r="191" spans="1:10" x14ac:dyDescent="0.25">
      <c r="A191" s="22">
        <v>15.1</v>
      </c>
      <c r="B191" s="22">
        <v>715.95140000000004</v>
      </c>
      <c r="C191" s="22">
        <v>0.20271893790183934</v>
      </c>
      <c r="D191" s="22">
        <v>73.464208972805253</v>
      </c>
      <c r="E191" s="22">
        <v>2.0483310690082135E-2</v>
      </c>
      <c r="F191" s="22">
        <v>7200300314.3145027</v>
      </c>
      <c r="G191" s="23">
        <v>1.3888309603030828E-10</v>
      </c>
      <c r="H191" s="5"/>
      <c r="I191" s="5"/>
      <c r="J191" s="5"/>
    </row>
    <row r="192" spans="1:10" x14ac:dyDescent="0.25">
      <c r="A192" s="22">
        <v>15.2</v>
      </c>
      <c r="B192" s="22">
        <v>725.46559999999999</v>
      </c>
      <c r="C192" s="22">
        <v>0.20408033586002725</v>
      </c>
      <c r="D192" s="22">
        <v>73.443583790553134</v>
      </c>
      <c r="E192" s="22">
        <v>2.0625182252118179E-2</v>
      </c>
      <c r="F192" s="22">
        <v>7245798450.3216734</v>
      </c>
      <c r="G192" s="23">
        <v>1.3801101519123893E-10</v>
      </c>
      <c r="H192" s="5"/>
      <c r="I192" s="5"/>
      <c r="J192" s="5"/>
    </row>
    <row r="193" spans="1:10" x14ac:dyDescent="0.25">
      <c r="A193" s="22">
        <v>15.3</v>
      </c>
      <c r="B193" s="22">
        <v>735.04260000000011</v>
      </c>
      <c r="C193" s="22">
        <v>0.20544211751013419</v>
      </c>
      <c r="D193" s="22">
        <v>73.422816617179706</v>
      </c>
      <c r="E193" s="22">
        <v>2.0767173373428705E-2</v>
      </c>
      <c r="F193" s="22">
        <v>7291255910.33675</v>
      </c>
      <c r="G193" s="23">
        <v>1.3715058315019622E-10</v>
      </c>
      <c r="H193" s="5"/>
      <c r="I193" s="5"/>
      <c r="J193" s="5"/>
    </row>
    <row r="194" spans="1:10" x14ac:dyDescent="0.25">
      <c r="A194" s="22">
        <v>15.4</v>
      </c>
      <c r="B194" s="22">
        <v>744.68240000000003</v>
      </c>
      <c r="C194" s="22">
        <v>0.20680428570425907</v>
      </c>
      <c r="D194" s="22">
        <v>73.401907332166786</v>
      </c>
      <c r="E194" s="22">
        <v>2.0909285012919554E-2</v>
      </c>
      <c r="F194" s="22">
        <v>7336672406.7902594</v>
      </c>
      <c r="G194" s="23">
        <v>1.3630157441328265E-10</v>
      </c>
      <c r="H194" s="5"/>
      <c r="I194" s="5"/>
      <c r="J194" s="5"/>
    </row>
    <row r="195" spans="1:10" x14ac:dyDescent="0.25">
      <c r="A195" s="22">
        <v>15.5</v>
      </c>
      <c r="B195" s="22">
        <v>754.38499999999999</v>
      </c>
      <c r="C195" s="22">
        <v>0.20816684330142099</v>
      </c>
      <c r="D195" s="22">
        <v>73.38085581403368</v>
      </c>
      <c r="E195" s="22">
        <v>2.1051518133106129E-2</v>
      </c>
      <c r="F195" s="22">
        <v>7382047651.7372389</v>
      </c>
      <c r="G195" s="23">
        <v>1.3546376929234087E-10</v>
      </c>
      <c r="H195" s="5"/>
      <c r="I195" s="5"/>
      <c r="J195" s="5"/>
    </row>
    <row r="196" spans="1:10" x14ac:dyDescent="0.25">
      <c r="A196" s="22">
        <v>15.6</v>
      </c>
      <c r="B196" s="22">
        <v>764.15039999999999</v>
      </c>
      <c r="C196" s="22">
        <v>0.20952979316762116</v>
      </c>
      <c r="D196" s="22">
        <v>73.359661940333396</v>
      </c>
      <c r="E196" s="22">
        <v>2.1193873700283916E-2</v>
      </c>
      <c r="F196" s="22">
        <v>7427381356.8064842</v>
      </c>
      <c r="G196" s="23">
        <v>1.3463695372038434E-10</v>
      </c>
      <c r="H196" s="5"/>
      <c r="I196" s="5"/>
      <c r="J196" s="5"/>
    </row>
    <row r="197" spans="1:10" x14ac:dyDescent="0.25">
      <c r="A197" s="22">
        <v>15.7</v>
      </c>
      <c r="B197" s="22">
        <v>773.97860000000003</v>
      </c>
      <c r="C197" s="22">
        <v>0.21089313817590463</v>
      </c>
      <c r="D197" s="22">
        <v>73.338325587648924</v>
      </c>
      <c r="E197" s="22">
        <v>2.1336352684471649E-2</v>
      </c>
      <c r="F197" s="22">
        <v>7472673233.229702</v>
      </c>
      <c r="G197" s="23">
        <v>1.3382091907259785E-10</v>
      </c>
      <c r="H197" s="5"/>
      <c r="I197" s="5"/>
      <c r="J197" s="5"/>
    </row>
    <row r="198" spans="1:10" x14ac:dyDescent="0.25">
      <c r="A198" s="22">
        <v>15.8</v>
      </c>
      <c r="B198" s="22">
        <v>783.8696000000001</v>
      </c>
      <c r="C198" s="22">
        <v>0.21225688120642275</v>
      </c>
      <c r="D198" s="22">
        <v>73.316846631589385</v>
      </c>
      <c r="E198" s="22">
        <v>2.14789560595392E-2</v>
      </c>
      <c r="F198" s="22">
        <v>7517922991.805975</v>
      </c>
      <c r="G198" s="23">
        <v>1.3301546199527876E-10</v>
      </c>
      <c r="H198" s="5"/>
      <c r="I198" s="5"/>
      <c r="J198" s="5"/>
    </row>
    <row r="199" spans="1:10" x14ac:dyDescent="0.25">
      <c r="A199" s="22">
        <v>15.9</v>
      </c>
      <c r="B199" s="22">
        <v>793.82339999999999</v>
      </c>
      <c r="C199" s="22">
        <v>0.2136210251464957</v>
      </c>
      <c r="D199" s="22">
        <v>73.295224946786263</v>
      </c>
      <c r="E199" s="22">
        <v>2.1621684803122321E-2</v>
      </c>
      <c r="F199" s="22">
        <v>7563130342.9409666</v>
      </c>
      <c r="G199" s="23">
        <v>1.3222038423988662E-10</v>
      </c>
      <c r="H199" s="5"/>
      <c r="I199" s="5"/>
      <c r="J199" s="5"/>
    </row>
    <row r="200" spans="1:10" x14ac:dyDescent="0.25">
      <c r="A200" s="22">
        <v>16</v>
      </c>
      <c r="B200" s="22">
        <v>803.84</v>
      </c>
      <c r="C200" s="22">
        <v>0.21498557289067599</v>
      </c>
      <c r="D200" s="22">
        <v>73.273460406889484</v>
      </c>
      <c r="E200" s="22">
        <v>2.1764539896778956E-2</v>
      </c>
      <c r="F200" s="22">
        <v>7608294996.601635</v>
      </c>
      <c r="G200" s="23">
        <v>1.3143549250478141E-10</v>
      </c>
      <c r="H200" s="5"/>
      <c r="I200" s="5"/>
      <c r="J200" s="5"/>
    </row>
    <row r="201" spans="1:10" x14ac:dyDescent="0.25">
      <c r="A201" s="22">
        <v>16.100000000000001</v>
      </c>
      <c r="B201" s="22">
        <v>813.91940000000022</v>
      </c>
      <c r="C201" s="22">
        <v>0.21635052734081142</v>
      </c>
      <c r="D201" s="22">
        <v>73.25155288456348</v>
      </c>
      <c r="E201" s="22">
        <v>2.1907522326003459E-2</v>
      </c>
      <c r="F201" s="22">
        <v>7653416662.3208103</v>
      </c>
      <c r="G201" s="23">
        <v>1.3066059828196541E-10</v>
      </c>
      <c r="H201" s="5"/>
      <c r="I201" s="5"/>
      <c r="J201" s="5"/>
    </row>
    <row r="202" spans="1:10" x14ac:dyDescent="0.25">
      <c r="A202" s="22">
        <v>16.2</v>
      </c>
      <c r="B202" s="22">
        <v>824.0616</v>
      </c>
      <c r="C202" s="22">
        <v>0.21771589140610931</v>
      </c>
      <c r="D202" s="22">
        <v>73.229502251483311</v>
      </c>
      <c r="E202" s="22">
        <v>2.2050633080169746E-2</v>
      </c>
      <c r="F202" s="22">
        <v>7698495049.2266417</v>
      </c>
      <c r="G202" s="23">
        <v>1.298955177090691E-10</v>
      </c>
      <c r="H202" s="5"/>
      <c r="I202" s="5"/>
      <c r="J202" s="5"/>
    </row>
    <row r="203" spans="1:10" x14ac:dyDescent="0.25">
      <c r="A203" s="22">
        <v>16.3</v>
      </c>
      <c r="B203" s="22">
        <v>834.26660000000004</v>
      </c>
      <c r="C203" s="22">
        <v>0.21908166800320072</v>
      </c>
      <c r="D203" s="22">
        <v>73.207308378330637</v>
      </c>
      <c r="E203" s="22">
        <v>2.2193873152673405E-2</v>
      </c>
      <c r="F203" s="22">
        <v>7743529866.0026093</v>
      </c>
      <c r="G203" s="23">
        <v>1.2914007142794471E-10</v>
      </c>
      <c r="H203" s="5"/>
      <c r="I203" s="5"/>
      <c r="J203" s="5"/>
    </row>
    <row r="204" spans="1:10" x14ac:dyDescent="0.25">
      <c r="A204" s="22">
        <v>16.399999999999999</v>
      </c>
      <c r="B204" s="22">
        <v>844.53439999999989</v>
      </c>
      <c r="C204" s="22">
        <v>0.22044786005620487</v>
      </c>
      <c r="D204" s="22">
        <v>73.184971134789691</v>
      </c>
      <c r="E204" s="22">
        <v>2.2337243540945906E-2</v>
      </c>
      <c r="F204" s="22">
        <v>7788520820.892333</v>
      </c>
      <c r="G204" s="23">
        <v>1.2839408444765892E-10</v>
      </c>
      <c r="H204" s="5"/>
      <c r="I204" s="5"/>
      <c r="J204" s="5"/>
    </row>
    <row r="205" spans="1:10" x14ac:dyDescent="0.25">
      <c r="A205" s="22">
        <v>16.5</v>
      </c>
      <c r="B205" s="22">
        <v>854.86500000000001</v>
      </c>
      <c r="C205" s="22">
        <v>0.22181447049679442</v>
      </c>
      <c r="D205" s="22">
        <v>73.162490389543194</v>
      </c>
      <c r="E205" s="22">
        <v>2.2480745246497236E-2</v>
      </c>
      <c r="F205" s="22">
        <v>7833467621.694561</v>
      </c>
      <c r="G205" s="23">
        <v>1.2765738601261707E-10</v>
      </c>
      <c r="H205" s="5"/>
      <c r="I205" s="5"/>
      <c r="J205" s="5"/>
    </row>
    <row r="206" spans="1:10" x14ac:dyDescent="0.25">
      <c r="A206" s="22">
        <v>16.600000000000001</v>
      </c>
      <c r="B206" s="22">
        <v>865.25840000000028</v>
      </c>
      <c r="C206" s="22">
        <v>0.22318150226426087</v>
      </c>
      <c r="D206" s="22">
        <v>73.139866010268292</v>
      </c>
      <c r="E206" s="22">
        <v>2.2624379274901685E-2</v>
      </c>
      <c r="F206" s="22">
        <v>7878369975.7780266</v>
      </c>
      <c r="G206" s="23">
        <v>1.2692980947511864E-10</v>
      </c>
      <c r="H206" s="5"/>
      <c r="I206" s="5"/>
      <c r="J206" s="5"/>
    </row>
    <row r="207" spans="1:10" x14ac:dyDescent="0.25">
      <c r="A207" s="22">
        <v>16.7</v>
      </c>
      <c r="B207" s="22">
        <v>875.71460000000002</v>
      </c>
      <c r="C207" s="22">
        <v>0.22454895830558022</v>
      </c>
      <c r="D207" s="22">
        <v>73.117097863632424</v>
      </c>
      <c r="E207" s="22">
        <v>2.2768146635868902E-2</v>
      </c>
      <c r="F207" s="22">
        <v>7923227590.0666647</v>
      </c>
      <c r="G207" s="23">
        <v>1.2621119217295968E-10</v>
      </c>
      <c r="H207" s="5"/>
      <c r="I207" s="5"/>
      <c r="J207" s="5"/>
    </row>
    <row r="208" spans="1:10" x14ac:dyDescent="0.25">
      <c r="A208" s="22">
        <v>16.8</v>
      </c>
      <c r="B208" s="22">
        <v>886.23360000000002</v>
      </c>
      <c r="C208" s="22">
        <v>0.22591684157547967</v>
      </c>
      <c r="D208" s="22">
        <v>73.094185815289038</v>
      </c>
      <c r="E208" s="22">
        <v>2.2912048343386004E-2</v>
      </c>
      <c r="F208" s="22">
        <v>7968040171.0002756</v>
      </c>
      <c r="G208" s="23">
        <v>1.2550137531177433E-10</v>
      </c>
      <c r="H208" s="5"/>
      <c r="I208" s="5"/>
      <c r="J208" s="5"/>
    </row>
    <row r="209" spans="1:10" x14ac:dyDescent="0.25">
      <c r="A209" s="22">
        <v>16.899999999999999</v>
      </c>
      <c r="B209" s="22">
        <v>896.81539999999984</v>
      </c>
      <c r="C209" s="22">
        <v>0.22728515503650387</v>
      </c>
      <c r="D209" s="22">
        <v>73.071129729873476</v>
      </c>
      <c r="E209" s="22">
        <v>2.3056085415561256E-2</v>
      </c>
      <c r="F209" s="22">
        <v>8012807424.5990877</v>
      </c>
      <c r="G209" s="23">
        <v>1.248002038499052E-10</v>
      </c>
      <c r="H209" s="5"/>
      <c r="I209" s="5"/>
      <c r="J209" s="5"/>
    </row>
    <row r="210" spans="1:10" x14ac:dyDescent="0.25">
      <c r="A210" s="22">
        <v>17</v>
      </c>
      <c r="B210" s="22">
        <v>907.46</v>
      </c>
      <c r="C210" s="22">
        <v>0.22865390165908245</v>
      </c>
      <c r="D210" s="22">
        <v>73.047929470998696</v>
      </c>
      <c r="E210" s="22">
        <v>2.3200258874780388E-2</v>
      </c>
      <c r="F210" s="22">
        <v>8057529056.4196138</v>
      </c>
      <c r="G210" s="23">
        <v>1.2410752638903334E-10</v>
      </c>
      <c r="H210" s="5"/>
      <c r="I210" s="5"/>
      <c r="J210" s="5"/>
    </row>
    <row r="211" spans="1:10" x14ac:dyDescent="0.25">
      <c r="A211" s="22">
        <v>17.100000000000001</v>
      </c>
      <c r="B211" s="22">
        <v>918.16740000000027</v>
      </c>
      <c r="C211" s="22">
        <v>0.23002308442159702</v>
      </c>
      <c r="D211" s="22">
        <v>73.02458490125089</v>
      </c>
      <c r="E211" s="22">
        <v>2.3344569747806077E-2</v>
      </c>
      <c r="F211" s="22">
        <v>8102204771.5304623</v>
      </c>
      <c r="G211" s="23">
        <v>1.2342319506831045E-10</v>
      </c>
      <c r="H211" s="5"/>
      <c r="I211" s="5"/>
      <c r="J211" s="5"/>
    </row>
    <row r="212" spans="1:10" x14ac:dyDescent="0.25">
      <c r="A212" s="22">
        <v>17.2</v>
      </c>
      <c r="B212" s="22">
        <v>928.93759999999997</v>
      </c>
      <c r="C212" s="22">
        <v>0.23139270631044961</v>
      </c>
      <c r="D212" s="22">
        <v>73.001095882185211</v>
      </c>
      <c r="E212" s="22">
        <v>2.3489019065678463E-2</v>
      </c>
      <c r="F212" s="22">
        <v>8146834274.5573339</v>
      </c>
      <c r="G212" s="23">
        <v>1.2274706546112183E-10</v>
      </c>
      <c r="H212" s="5"/>
      <c r="I212" s="5"/>
      <c r="J212" s="5"/>
    </row>
    <row r="213" spans="1:10" x14ac:dyDescent="0.25">
      <c r="A213" s="22">
        <v>17.3</v>
      </c>
      <c r="B213" s="22">
        <v>939.77060000000006</v>
      </c>
      <c r="C213" s="22">
        <v>0.23276277032013101</v>
      </c>
      <c r="D213" s="22">
        <v>72.977462274321368</v>
      </c>
      <c r="E213" s="22">
        <v>2.3633607863843054E-2</v>
      </c>
      <c r="F213" s="22">
        <v>8191417269.6491537</v>
      </c>
      <c r="G213" s="23">
        <v>1.2207899647661717E-10</v>
      </c>
      <c r="H213" s="5"/>
      <c r="I213" s="5"/>
      <c r="J213" s="5"/>
    </row>
    <row r="214" spans="1:10" x14ac:dyDescent="0.25">
      <c r="A214" s="22">
        <v>17.399999999999999</v>
      </c>
      <c r="B214" s="22">
        <v>950.66639999999984</v>
      </c>
      <c r="C214" s="22">
        <v>0.23413327945328935</v>
      </c>
      <c r="D214" s="22">
        <v>72.953683937139189</v>
      </c>
      <c r="E214" s="22">
        <v>2.3778337182179143E-2</v>
      </c>
      <c r="F214" s="22">
        <v>8235953460.4787979</v>
      </c>
      <c r="G214" s="23">
        <v>1.2141885026410347E-10</v>
      </c>
      <c r="H214" s="5"/>
      <c r="I214" s="5"/>
      <c r="J214" s="5"/>
    </row>
    <row r="215" spans="1:10" x14ac:dyDescent="0.25">
      <c r="A215" s="22">
        <v>17.5</v>
      </c>
      <c r="B215" s="22">
        <v>961.625</v>
      </c>
      <c r="C215" s="22">
        <v>0.23550423672079981</v>
      </c>
      <c r="D215" s="22">
        <v>72.929760729074104</v>
      </c>
      <c r="E215" s="22">
        <v>2.3923208065085078E-2</v>
      </c>
      <c r="F215" s="22">
        <v>8280442550.2243156</v>
      </c>
      <c r="G215" s="23">
        <v>1.20766492120993E-10</v>
      </c>
      <c r="H215" s="5"/>
      <c r="I215" s="5"/>
      <c r="J215" s="5"/>
    </row>
    <row r="216" spans="1:10" x14ac:dyDescent="0.25">
      <c r="A216" s="22">
        <v>17.600000000000001</v>
      </c>
      <c r="B216" s="22">
        <v>972.6464000000002</v>
      </c>
      <c r="C216" s="22">
        <v>0.23687564514183393</v>
      </c>
      <c r="D216" s="22">
        <v>72.905692507512754</v>
      </c>
      <c r="E216" s="22">
        <v>2.4068221561350356E-2</v>
      </c>
      <c r="F216" s="22">
        <v>8324884241.6239777</v>
      </c>
      <c r="G216" s="23">
        <v>1.2012179040280863E-10</v>
      </c>
      <c r="H216" s="5"/>
      <c r="I216" s="5"/>
      <c r="J216" s="5"/>
    </row>
    <row r="217" spans="1:10" x14ac:dyDescent="0.25">
      <c r="A217" s="22">
        <v>17.7</v>
      </c>
      <c r="B217" s="22">
        <v>983.73059999999998</v>
      </c>
      <c r="C217" s="22">
        <v>0.23824750774393005</v>
      </c>
      <c r="D217" s="22">
        <v>72.881479128788271</v>
      </c>
      <c r="E217" s="22">
        <v>2.4213378724482482E-2</v>
      </c>
      <c r="F217" s="22">
        <v>8369278236.8740339</v>
      </c>
      <c r="G217" s="23">
        <v>1.1948461643850244E-10</v>
      </c>
      <c r="H217" s="5"/>
      <c r="I217" s="5"/>
      <c r="J217" s="5"/>
    </row>
    <row r="218" spans="1:10" x14ac:dyDescent="0.25">
      <c r="A218" s="22">
        <v>17.8</v>
      </c>
      <c r="B218" s="22">
        <v>994.87760000000014</v>
      </c>
      <c r="C218" s="22">
        <v>0.23961982756306408</v>
      </c>
      <c r="D218" s="22">
        <v>72.85712044817582</v>
      </c>
      <c r="E218" s="22">
        <v>2.4358680612451167E-2</v>
      </c>
      <c r="F218" s="22">
        <v>8413624237.7282362</v>
      </c>
      <c r="G218" s="23">
        <v>1.1885484444572843E-10</v>
      </c>
      <c r="H218" s="5"/>
      <c r="I218" s="5"/>
      <c r="J218" s="5"/>
    </row>
    <row r="219" spans="1:10" x14ac:dyDescent="0.25">
      <c r="A219" s="22">
        <v>17.899999999999999</v>
      </c>
      <c r="B219" s="22">
        <v>1006.0873999999999</v>
      </c>
      <c r="C219" s="22">
        <v>0.24099260764372027</v>
      </c>
      <c r="D219" s="22">
        <v>72.83261631988789</v>
      </c>
      <c r="E219" s="22">
        <v>2.4504128287929916E-2</v>
      </c>
      <c r="F219" s="22">
        <v>8457921945.4253263</v>
      </c>
      <c r="G219" s="23">
        <v>1.1823235145139575E-10</v>
      </c>
      <c r="H219" s="5"/>
      <c r="I219" s="5"/>
      <c r="J219" s="5"/>
    </row>
    <row r="220" spans="1:10" x14ac:dyDescent="0.25">
      <c r="A220" s="22">
        <v>18</v>
      </c>
      <c r="B220" s="22">
        <v>1017.36</v>
      </c>
      <c r="C220" s="22">
        <v>0.24236585103896324</v>
      </c>
      <c r="D220" s="22">
        <v>72.80796659706958</v>
      </c>
      <c r="E220" s="22">
        <v>2.4649722818310238E-2</v>
      </c>
      <c r="F220" s="22">
        <v>8502171060.695385</v>
      </c>
      <c r="G220" s="23">
        <v>1.176170172137434E-10</v>
      </c>
      <c r="H220" s="5"/>
      <c r="I220" s="5"/>
      <c r="J220" s="5"/>
    </row>
    <row r="221" spans="1:10" x14ac:dyDescent="0.25">
      <c r="A221" s="22">
        <v>18.100000000000001</v>
      </c>
      <c r="B221" s="22">
        <v>1028.6954000000001</v>
      </c>
      <c r="C221" s="22">
        <v>0.2437395608105096</v>
      </c>
      <c r="D221" s="22">
        <v>72.783171131793921</v>
      </c>
      <c r="E221" s="22">
        <v>2.4795465275659012E-2</v>
      </c>
      <c r="F221" s="22">
        <v>8546371283.7857943</v>
      </c>
      <c r="G221" s="23">
        <v>1.1700872414672688E-10</v>
      </c>
      <c r="H221" s="5"/>
      <c r="I221" s="5"/>
      <c r="J221" s="5"/>
    </row>
    <row r="222" spans="1:10" x14ac:dyDescent="0.25">
      <c r="A222" s="22">
        <v>18.2</v>
      </c>
      <c r="B222" s="22">
        <v>1040.0935999999999</v>
      </c>
      <c r="C222" s="22">
        <v>0.24511374002880087</v>
      </c>
      <c r="D222" s="22">
        <v>72.75822977505706</v>
      </c>
      <c r="E222" s="22">
        <v>2.4941356736860598E-2</v>
      </c>
      <c r="F222" s="22">
        <v>8590522314.4235859</v>
      </c>
      <c r="G222" s="23">
        <v>1.164073572477646E-10</v>
      </c>
      <c r="H222" s="5"/>
      <c r="I222" s="5"/>
      <c r="J222" s="5"/>
    </row>
    <row r="223" spans="1:10" x14ac:dyDescent="0.25">
      <c r="A223" s="22">
        <v>18.3</v>
      </c>
      <c r="B223" s="22">
        <v>1051.5546000000002</v>
      </c>
      <c r="C223" s="22">
        <v>0.24648839177307627</v>
      </c>
      <c r="D223" s="22">
        <v>72.733142376773472</v>
      </c>
      <c r="E223" s="22">
        <v>2.5087398283588414E-2</v>
      </c>
      <c r="F223" s="22">
        <v>8634623851.8367176</v>
      </c>
      <c r="G223" s="23">
        <v>1.1581280402704335E-10</v>
      </c>
      <c r="H223" s="5"/>
      <c r="I223" s="5"/>
      <c r="J223" s="5"/>
    </row>
    <row r="224" spans="1:10" x14ac:dyDescent="0.25">
      <c r="A224" s="22">
        <v>18.399999999999999</v>
      </c>
      <c r="B224" s="22">
        <v>1063.0783999999999</v>
      </c>
      <c r="C224" s="22">
        <v>0.24786351913144655</v>
      </c>
      <c r="D224" s="22">
        <v>72.707908785771025</v>
      </c>
      <c r="E224" s="22">
        <v>2.5233591002447042E-2</v>
      </c>
      <c r="F224" s="22">
        <v>8678675594.7166977</v>
      </c>
      <c r="G224" s="23">
        <v>1.1522495443991111E-10</v>
      </c>
      <c r="H224" s="5"/>
      <c r="I224" s="5"/>
      <c r="J224" s="5"/>
    </row>
    <row r="225" spans="1:10" x14ac:dyDescent="0.25">
      <c r="A225" s="22">
        <v>18.5</v>
      </c>
      <c r="B225" s="22">
        <v>1074.665</v>
      </c>
      <c r="C225" s="22">
        <v>0.24923912520096766</v>
      </c>
      <c r="D225" s="22">
        <v>72.682528849786181</v>
      </c>
      <c r="E225" s="22">
        <v>2.5379935984844337E-2</v>
      </c>
      <c r="F225" s="22">
        <v>8722677241.2742863</v>
      </c>
      <c r="G225" s="23">
        <v>1.1464370082022101E-10</v>
      </c>
      <c r="H225" s="5"/>
      <c r="I225" s="5"/>
      <c r="J225" s="5"/>
    </row>
    <row r="226" spans="1:10" x14ac:dyDescent="0.25">
      <c r="A226" s="22">
        <v>18.600000000000001</v>
      </c>
      <c r="B226" s="22">
        <v>1086.3144000000002</v>
      </c>
      <c r="C226" s="22">
        <v>0.25061521308771539</v>
      </c>
      <c r="D226" s="22">
        <v>72.657002415458891</v>
      </c>
      <c r="E226" s="22">
        <v>2.5526434327289849E-2</v>
      </c>
      <c r="F226" s="22">
        <v>8766628489.1486034</v>
      </c>
      <c r="G226" s="23">
        <v>1.1406893781774913E-10</v>
      </c>
      <c r="H226" s="5"/>
      <c r="I226" s="5"/>
      <c r="J226" s="5"/>
    </row>
    <row r="227" spans="1:10" x14ac:dyDescent="0.25">
      <c r="A227" s="22">
        <v>18.7</v>
      </c>
      <c r="B227" s="22">
        <v>1098.0265999999999</v>
      </c>
      <c r="C227" s="22">
        <v>0.25199178590686061</v>
      </c>
      <c r="D227" s="22">
        <v>72.631329328327737</v>
      </c>
      <c r="E227" s="22">
        <v>2.5673087131153238E-2</v>
      </c>
      <c r="F227" s="22">
        <v>8810529035.5020638</v>
      </c>
      <c r="G227" s="23">
        <v>1.1350056233518961E-10</v>
      </c>
      <c r="H227" s="5"/>
      <c r="I227" s="5"/>
      <c r="J227" s="5"/>
    </row>
    <row r="228" spans="1:10" x14ac:dyDescent="0.25">
      <c r="A228" s="22">
        <v>18.8</v>
      </c>
      <c r="B228" s="22">
        <v>1109.8016</v>
      </c>
      <c r="C228" s="22">
        <v>0.25336884678274457</v>
      </c>
      <c r="D228" s="22">
        <v>72.605509432824718</v>
      </c>
      <c r="E228" s="22">
        <v>2.5819895503019552E-2</v>
      </c>
      <c r="F228" s="22">
        <v>8854378576.9103413</v>
      </c>
      <c r="G228" s="23">
        <v>1.1293847346980519E-10</v>
      </c>
      <c r="H228" s="5"/>
      <c r="I228" s="5"/>
      <c r="J228" s="5"/>
    </row>
    <row r="229" spans="1:10" x14ac:dyDescent="0.25">
      <c r="A229" s="22">
        <v>18.899999999999999</v>
      </c>
      <c r="B229" s="22">
        <v>1121.6393999999998</v>
      </c>
      <c r="C229" s="22">
        <v>0.25474639884895517</v>
      </c>
      <c r="D229" s="22">
        <v>72.579542572270327</v>
      </c>
      <c r="E229" s="22">
        <v>2.5966860554390792E-2</v>
      </c>
      <c r="F229" s="22">
        <v>8898176809.4768734</v>
      </c>
      <c r="G229" s="23">
        <v>1.12382572454052E-10</v>
      </c>
      <c r="H229" s="5"/>
      <c r="I229" s="5"/>
      <c r="J229" s="5"/>
    </row>
    <row r="230" spans="1:10" x14ac:dyDescent="0.25">
      <c r="A230" s="22">
        <v>19</v>
      </c>
      <c r="B230" s="22">
        <v>1133.54</v>
      </c>
      <c r="C230" s="22">
        <v>0.25612444524840317</v>
      </c>
      <c r="D230" s="22">
        <v>72.553428588868215</v>
      </c>
      <c r="E230" s="22">
        <v>2.611398340211224E-2</v>
      </c>
      <c r="F230" s="22">
        <v>8941923428.6988373</v>
      </c>
      <c r="G230" s="23">
        <v>1.11832762601224E-10</v>
      </c>
      <c r="H230" s="5"/>
      <c r="I230" s="5"/>
      <c r="J230" s="5"/>
    </row>
    <row r="231" spans="1:10" x14ac:dyDescent="0.25">
      <c r="A231" s="22">
        <v>19.100000000000001</v>
      </c>
      <c r="B231" s="22">
        <v>1145.5034000000001</v>
      </c>
      <c r="C231" s="22">
        <v>0.25750298913339992</v>
      </c>
      <c r="D231" s="22">
        <v>72.527167323700155</v>
      </c>
      <c r="E231" s="22">
        <v>2.6261265168059822E-2</v>
      </c>
      <c r="F231" s="22">
        <v>8985618129.5866222</v>
      </c>
      <c r="G231" s="23">
        <v>1.1128894924961655E-10</v>
      </c>
      <c r="H231" s="5"/>
      <c r="I231" s="5"/>
      <c r="J231" s="5"/>
    </row>
    <row r="232" spans="1:10" x14ac:dyDescent="0.25">
      <c r="A232" s="22">
        <v>19.2</v>
      </c>
      <c r="B232" s="22">
        <v>1157.5295999999998</v>
      </c>
      <c r="C232" s="22">
        <v>0.25888203366573426</v>
      </c>
      <c r="D232" s="22">
        <v>72.500758616720688</v>
      </c>
      <c r="E232" s="22">
        <v>2.6408706979466956E-2</v>
      </c>
      <c r="F232" s="22">
        <v>9029260606.5642738</v>
      </c>
      <c r="G232" s="23">
        <v>1.1075103971115861E-10</v>
      </c>
      <c r="H232" s="5"/>
      <c r="I232" s="5"/>
      <c r="J232" s="5"/>
    </row>
    <row r="233" spans="1:10" x14ac:dyDescent="0.25">
      <c r="A233" s="22">
        <v>19.3</v>
      </c>
      <c r="B233" s="22">
        <v>1169.6186</v>
      </c>
      <c r="C233" s="22">
        <v>0.26026158201675159</v>
      </c>
      <c r="D233" s="22">
        <v>72.474202306751877</v>
      </c>
      <c r="E233" s="22">
        <v>2.6556309968810865E-2</v>
      </c>
      <c r="F233" s="22">
        <v>9072850553.5209656</v>
      </c>
      <c r="G233" s="23">
        <v>1.1021894321977154E-10</v>
      </c>
      <c r="H233" s="5"/>
      <c r="I233" s="5"/>
      <c r="J233" s="5"/>
    </row>
    <row r="234" spans="1:10" x14ac:dyDescent="0.25">
      <c r="A234" s="22">
        <v>19.399999999999999</v>
      </c>
      <c r="B234" s="22">
        <v>1181.7703999999999</v>
      </c>
      <c r="C234" s="22">
        <v>0.26164163736743168</v>
      </c>
      <c r="D234" s="22">
        <v>72.447498231477951</v>
      </c>
      <c r="E234" s="22">
        <v>2.6704075273926264E-2</v>
      </c>
      <c r="F234" s="22">
        <v>9116387663.7847214</v>
      </c>
      <c r="G234" s="23">
        <v>1.0969257088227468E-10</v>
      </c>
      <c r="H234" s="5"/>
      <c r="I234" s="5"/>
      <c r="J234" s="5"/>
    </row>
    <row r="235" spans="1:10" x14ac:dyDescent="0.25">
      <c r="A235" s="22">
        <v>19.5</v>
      </c>
      <c r="B235" s="22">
        <v>1193.9850000000001</v>
      </c>
      <c r="C235" s="22">
        <v>0.26302220290846889</v>
      </c>
      <c r="D235" s="22">
        <v>72.420646227439875</v>
      </c>
      <c r="E235" s="22">
        <v>2.6852004038076416E-2</v>
      </c>
      <c r="F235" s="22">
        <v>9159871630.11092</v>
      </c>
      <c r="G235" s="23">
        <v>1.0917183563061469E-10</v>
      </c>
      <c r="H235" s="5"/>
      <c r="I235" s="5"/>
      <c r="J235" s="5"/>
    </row>
    <row r="236" spans="1:10" x14ac:dyDescent="0.25">
      <c r="A236" s="22">
        <v>19.600000000000001</v>
      </c>
      <c r="B236" s="22">
        <v>1206.2624000000001</v>
      </c>
      <c r="C236" s="22">
        <v>0.26440328184035122</v>
      </c>
      <c r="D236" s="22">
        <v>72.39364613002995</v>
      </c>
      <c r="E236" s="22">
        <v>2.7000097409924706E-2</v>
      </c>
      <c r="F236" s="22">
        <v>9203302144.7048531</v>
      </c>
      <c r="G236" s="23">
        <v>1.0865665217514921E-10</v>
      </c>
      <c r="H236" s="5"/>
      <c r="I236" s="5"/>
      <c r="J236" s="5"/>
    </row>
    <row r="237" spans="1:10" x14ac:dyDescent="0.25">
      <c r="A237" s="22">
        <v>19.7</v>
      </c>
      <c r="B237" s="22">
        <v>1218.6025999999999</v>
      </c>
      <c r="C237" s="22">
        <v>0.2657848773734412</v>
      </c>
      <c r="D237" s="22">
        <v>72.366497773486316</v>
      </c>
      <c r="E237" s="22">
        <v>2.7148356543634122E-2</v>
      </c>
      <c r="F237" s="22">
        <v>9246678899.2007408</v>
      </c>
      <c r="G237" s="23">
        <v>1.0814693695986755E-10</v>
      </c>
      <c r="H237" s="5"/>
      <c r="I237" s="5"/>
      <c r="J237" s="5"/>
    </row>
    <row r="238" spans="1:10" x14ac:dyDescent="0.25">
      <c r="A238" s="22">
        <v>19.8</v>
      </c>
      <c r="B238" s="22">
        <v>1231.0056000000002</v>
      </c>
      <c r="C238" s="22">
        <v>0.26716699272805677</v>
      </c>
      <c r="D238" s="22">
        <v>72.339200990887363</v>
      </c>
      <c r="E238" s="22">
        <v>2.7296782598952518E-2</v>
      </c>
      <c r="F238" s="22">
        <v>9290001584.645771</v>
      </c>
      <c r="G238" s="23">
        <v>1.0764260811890164E-10</v>
      </c>
      <c r="H238" s="5"/>
      <c r="I238" s="5"/>
      <c r="J238" s="5"/>
    </row>
    <row r="239" spans="1:10" x14ac:dyDescent="0.25">
      <c r="A239" s="22">
        <v>19.899999999999999</v>
      </c>
      <c r="B239" s="22">
        <v>1243.4713999999999</v>
      </c>
      <c r="C239" s="22">
        <v>0.26854963113455282</v>
      </c>
      <c r="D239" s="22">
        <v>72.311755614146179</v>
      </c>
      <c r="E239" s="22">
        <v>2.7445376741184191E-2</v>
      </c>
      <c r="F239" s="22">
        <v>9333269891.5229969</v>
      </c>
      <c r="G239" s="23">
        <v>1.0714358543389563E-10</v>
      </c>
      <c r="H239" s="5"/>
      <c r="I239" s="5"/>
      <c r="J239" s="5"/>
    </row>
    <row r="240" spans="1:10" x14ac:dyDescent="0.25">
      <c r="A240" s="22">
        <v>20</v>
      </c>
      <c r="B240" s="22">
        <v>1256</v>
      </c>
      <c r="C240" s="22">
        <v>0.26993279583340346</v>
      </c>
      <c r="D240" s="22">
        <v>72.284161474004804</v>
      </c>
      <c r="E240" s="22">
        <v>2.7594140141374623E-2</v>
      </c>
      <c r="F240" s="22">
        <v>9376483509.7018127</v>
      </c>
      <c r="G240" s="23">
        <v>1.0664979029348302E-10</v>
      </c>
      <c r="H240" s="5"/>
      <c r="I240" s="5"/>
      <c r="J240" s="5"/>
    </row>
    <row r="241" spans="1:10" x14ac:dyDescent="0.25">
      <c r="A241" s="22">
        <v>20.100000000000001</v>
      </c>
      <c r="B241" s="22">
        <v>1268.5914000000002</v>
      </c>
      <c r="C241" s="22">
        <v>0.27131649007528447</v>
      </c>
      <c r="D241" s="22">
        <v>72.256418400028664</v>
      </c>
      <c r="E241" s="22">
        <v>2.7743073976139954E-2</v>
      </c>
      <c r="F241" s="22">
        <v>9419642128.5093765</v>
      </c>
      <c r="G241" s="23">
        <v>1.0616114565259459E-10</v>
      </c>
      <c r="H241" s="5"/>
      <c r="I241" s="5"/>
      <c r="J241" s="5"/>
    </row>
    <row r="242" spans="1:10" x14ac:dyDescent="0.25">
      <c r="A242" s="22">
        <v>20.2</v>
      </c>
      <c r="B242" s="22">
        <v>1281.2456</v>
      </c>
      <c r="C242" s="22">
        <v>0.27270071712115684</v>
      </c>
      <c r="D242" s="22">
        <v>72.228526220600685</v>
      </c>
      <c r="E242" s="22">
        <v>2.7892179427979613E-2</v>
      </c>
      <c r="F242" s="22">
        <v>9462745436.6379147</v>
      </c>
      <c r="G242" s="23">
        <v>1.056775759948264E-10</v>
      </c>
      <c r="H242" s="5"/>
      <c r="I242" s="5"/>
      <c r="J242" s="5"/>
    </row>
    <row r="243" spans="1:10" x14ac:dyDescent="0.25">
      <c r="A243" s="22">
        <v>20.3</v>
      </c>
      <c r="B243" s="22">
        <v>1293.9626000000001</v>
      </c>
      <c r="C243" s="22">
        <v>0.27408548024235102</v>
      </c>
      <c r="D243" s="22">
        <v>72.200484762915536</v>
      </c>
      <c r="E243" s="22">
        <v>2.804145768514843E-2</v>
      </c>
      <c r="F243" s="22">
        <v>9505793122.2019157</v>
      </c>
      <c r="G243" s="23">
        <v>1.0519900729423414E-10</v>
      </c>
      <c r="H243" s="5"/>
      <c r="I243" s="5"/>
      <c r="J243" s="5"/>
    </row>
    <row r="244" spans="1:10" x14ac:dyDescent="0.25">
      <c r="A244" s="22">
        <v>20.399999999999999</v>
      </c>
      <c r="B244" s="22">
        <v>1306.7423999999999</v>
      </c>
      <c r="C244" s="22">
        <v>0.27547078272065079</v>
      </c>
      <c r="D244" s="22">
        <v>72.172293852973809</v>
      </c>
      <c r="E244" s="22">
        <v>2.8190909941727682E-2</v>
      </c>
      <c r="F244" s="22">
        <v>9548784872.7277622</v>
      </c>
      <c r="G244" s="23">
        <v>1.0472536697900642E-10</v>
      </c>
      <c r="H244" s="5"/>
      <c r="I244" s="5"/>
      <c r="J244" s="5"/>
    </row>
    <row r="245" spans="1:10" x14ac:dyDescent="0.25">
      <c r="A245" s="22">
        <v>20.5</v>
      </c>
      <c r="B245" s="22">
        <v>1319.585</v>
      </c>
      <c r="C245" s="22">
        <v>0.27685662784837894</v>
      </c>
      <c r="D245" s="22">
        <v>72.143953315575942</v>
      </c>
      <c r="E245" s="22">
        <v>2.8340537397866683E-2</v>
      </c>
      <c r="F245" s="22">
        <v>9591720375.0858364</v>
      </c>
      <c r="G245" s="23">
        <v>1.0425658389682268E-10</v>
      </c>
      <c r="H245" s="5"/>
      <c r="I245" s="5"/>
      <c r="J245" s="5"/>
    </row>
    <row r="246" spans="1:10" x14ac:dyDescent="0.25">
      <c r="A246" s="22">
        <v>20.6</v>
      </c>
      <c r="B246" s="22">
        <v>1332.4904000000004</v>
      </c>
      <c r="C246" s="22">
        <v>0.27824301892848308</v>
      </c>
      <c r="D246" s="22">
        <v>72.115462974316401</v>
      </c>
      <c r="E246" s="22">
        <v>2.8490341259541196E-2</v>
      </c>
      <c r="F246" s="22">
        <v>9634599315.5864525</v>
      </c>
      <c r="G246" s="23">
        <v>1.0379258827943595E-10</v>
      </c>
      <c r="H246" s="5"/>
      <c r="I246" s="5"/>
      <c r="J246" s="5"/>
    </row>
    <row r="247" spans="1:10" x14ac:dyDescent="0.25">
      <c r="A247" s="22">
        <v>20.7</v>
      </c>
      <c r="B247" s="22">
        <v>1345.4586000000002</v>
      </c>
      <c r="C247" s="22">
        <v>0.27962995927462153</v>
      </c>
      <c r="D247" s="22">
        <v>72.086822651577592</v>
      </c>
      <c r="E247" s="22">
        <v>2.8640322738809232E-2</v>
      </c>
      <c r="F247" s="22">
        <v>9677421379.907383</v>
      </c>
      <c r="G247" s="23">
        <v>1.0333331171010458E-10</v>
      </c>
      <c r="H247" s="5"/>
      <c r="I247" s="5"/>
      <c r="J247" s="5"/>
    </row>
    <row r="248" spans="1:10" x14ac:dyDescent="0.25">
      <c r="A248" s="22">
        <v>20.8</v>
      </c>
      <c r="B248" s="22">
        <v>1358.4896000000003</v>
      </c>
      <c r="C248" s="22">
        <v>0.28101745221125113</v>
      </c>
      <c r="D248" s="22">
        <v>72.058032168523724</v>
      </c>
      <c r="E248" s="22">
        <v>2.8790483053867888E-2</v>
      </c>
      <c r="F248" s="22">
        <v>9720186253.089056</v>
      </c>
      <c r="G248" s="23">
        <v>1.028786870912275E-10</v>
      </c>
      <c r="H248" s="5"/>
      <c r="I248" s="5"/>
      <c r="J248" s="5"/>
    </row>
    <row r="249" spans="1:10" x14ac:dyDescent="0.25">
      <c r="A249" s="22">
        <v>20.9</v>
      </c>
      <c r="B249" s="22">
        <v>1371.5834</v>
      </c>
      <c r="C249" s="22">
        <v>0.28240550107371437</v>
      </c>
      <c r="D249" s="22">
        <v>72.029091345094727</v>
      </c>
      <c r="E249" s="22">
        <v>2.8940823428996509E-2</v>
      </c>
      <c r="F249" s="22">
        <v>9762893619.568203</v>
      </c>
      <c r="G249" s="23">
        <v>1.024286486125031E-10</v>
      </c>
      <c r="H249" s="5"/>
      <c r="I249" s="5"/>
      <c r="J249" s="5"/>
    </row>
    <row r="250" spans="1:10" x14ac:dyDescent="0.25">
      <c r="A250" s="22">
        <v>21</v>
      </c>
      <c r="B250" s="22">
        <v>1384.74</v>
      </c>
      <c r="C250" s="22">
        <v>0.28379410920832787</v>
      </c>
      <c r="D250" s="22">
        <v>72</v>
      </c>
      <c r="E250" s="22">
        <v>2.9091345094727217E-2</v>
      </c>
      <c r="F250" s="22">
        <v>9805543163.1348839</v>
      </c>
      <c r="G250" s="23">
        <v>1.0198313172080257E-10</v>
      </c>
      <c r="H250" s="5"/>
      <c r="I250" s="5"/>
      <c r="J250" s="5"/>
    </row>
    <row r="251" spans="1:10" x14ac:dyDescent="0.25">
      <c r="A251" s="22">
        <v>21.1</v>
      </c>
      <c r="B251" s="22">
        <v>1397.9594000000002</v>
      </c>
      <c r="C251" s="22">
        <v>0.28518327997247161</v>
      </c>
      <c r="D251" s="22">
        <v>71.970757950712184</v>
      </c>
      <c r="E251" s="22">
        <v>2.9242049287816485E-2</v>
      </c>
      <c r="F251" s="22">
        <v>9848134566.9568005</v>
      </c>
      <c r="G251" s="23">
        <v>1.0154207309019467E-10</v>
      </c>
      <c r="H251" s="5"/>
      <c r="I251" s="5"/>
      <c r="J251" s="5"/>
    </row>
    <row r="252" spans="1:10" x14ac:dyDescent="0.25">
      <c r="A252" s="22">
        <v>21.2</v>
      </c>
      <c r="B252" s="22">
        <v>1411.2415999999998</v>
      </c>
      <c r="C252" s="22">
        <v>0.28657301673467828</v>
      </c>
      <c r="D252" s="22">
        <v>71.941365013460796</v>
      </c>
      <c r="E252" s="22">
        <v>2.9392937251387252E-2</v>
      </c>
      <c r="F252" s="22">
        <v>9890667513.5462723</v>
      </c>
      <c r="G252" s="23">
        <v>1.0110541059341026E-10</v>
      </c>
      <c r="H252" s="5"/>
      <c r="I252" s="5"/>
      <c r="J252" s="5"/>
    </row>
    <row r="253" spans="1:10" x14ac:dyDescent="0.25">
      <c r="A253" s="22">
        <v>21.3</v>
      </c>
      <c r="B253" s="22">
        <v>1424.5866000000001</v>
      </c>
      <c r="C253" s="22">
        <v>0.28796332287472415</v>
      </c>
      <c r="D253" s="22">
        <v>71.911821003225882</v>
      </c>
      <c r="E253" s="22">
        <v>2.9544010234914708E-2</v>
      </c>
      <c r="F253" s="22">
        <v>9933141684.7800598</v>
      </c>
      <c r="G253" s="23">
        <v>1.0067308327356674E-10</v>
      </c>
      <c r="H253" s="5"/>
      <c r="I253" s="5"/>
      <c r="J253" s="5"/>
    </row>
    <row r="254" spans="1:10" x14ac:dyDescent="0.25">
      <c r="A254" s="22">
        <v>21.4</v>
      </c>
      <c r="B254" s="22">
        <v>1437.9943999999998</v>
      </c>
      <c r="C254" s="22">
        <v>0.28935420178371912</v>
      </c>
      <c r="D254" s="22">
        <v>71.882125733731613</v>
      </c>
      <c r="E254" s="22">
        <v>2.9695269494268928E-2</v>
      </c>
      <c r="F254" s="22">
        <v>9975556761.9000931</v>
      </c>
      <c r="G254" s="23">
        <v>1.0024503131688112E-10</v>
      </c>
      <c r="H254" s="5"/>
      <c r="I254" s="5"/>
      <c r="J254" s="5"/>
    </row>
    <row r="255" spans="1:10" x14ac:dyDescent="0.25">
      <c r="A255" s="22">
        <v>21.5</v>
      </c>
      <c r="B255" s="22">
        <v>1451.4650000000001</v>
      </c>
      <c r="C255" s="22">
        <v>0.29074565686419984</v>
      </c>
      <c r="D255" s="22">
        <v>71.852279017439656</v>
      </c>
      <c r="E255" s="22">
        <v>2.9846716291956454E-2</v>
      </c>
      <c r="F255" s="22">
        <v>10017912425.447605</v>
      </c>
      <c r="G255" s="23">
        <v>9.9821196026807906E-11</v>
      </c>
      <c r="H255" s="5"/>
      <c r="I255" s="5"/>
      <c r="J255" s="5"/>
    </row>
    <row r="256" spans="1:10" x14ac:dyDescent="0.25">
      <c r="A256" s="22">
        <v>21.6</v>
      </c>
      <c r="B256" s="22">
        <v>1464.9984000000004</v>
      </c>
      <c r="C256" s="22">
        <v>0.29213769153022068</v>
      </c>
      <c r="D256" s="22">
        <v>71.822280665542777</v>
      </c>
      <c r="E256" s="22">
        <v>2.9998351896878717E-2</v>
      </c>
      <c r="F256" s="22">
        <v>10060208355.359711</v>
      </c>
      <c r="G256" s="23">
        <v>9.940151979727504E-11</v>
      </c>
      <c r="H256" s="5"/>
      <c r="I256" s="5"/>
      <c r="J256" s="5"/>
    </row>
    <row r="257" spans="1:10" x14ac:dyDescent="0.25">
      <c r="A257" s="22">
        <v>21.7</v>
      </c>
      <c r="B257" s="22">
        <v>1478.5946000000001</v>
      </c>
      <c r="C257" s="22">
        <v>0.29353030920744783</v>
      </c>
      <c r="D257" s="22">
        <v>71.792130487958076</v>
      </c>
      <c r="E257" s="22">
        <v>3.015017758470151E-2</v>
      </c>
      <c r="F257" s="22">
        <v>10102444230.860922</v>
      </c>
      <c r="G257" s="23">
        <v>9.8985946088690342E-11</v>
      </c>
      <c r="H257" s="5"/>
      <c r="I257" s="5"/>
      <c r="J257" s="5"/>
    </row>
    <row r="258" spans="1:10" x14ac:dyDescent="0.25">
      <c r="A258" s="22">
        <v>21.8</v>
      </c>
      <c r="B258" s="22">
        <v>1492.2536</v>
      </c>
      <c r="C258" s="22">
        <v>0.29492351333325267</v>
      </c>
      <c r="D258" s="22">
        <v>71.761828293320391</v>
      </c>
      <c r="E258" s="22">
        <v>3.0302194637684465E-2</v>
      </c>
      <c r="F258" s="22">
        <v>10144619730.536133</v>
      </c>
      <c r="G258" s="23">
        <v>9.8574419402820828E-11</v>
      </c>
      <c r="H258" s="5"/>
      <c r="I258" s="5"/>
      <c r="J258" s="5"/>
    </row>
    <row r="259" spans="1:10" x14ac:dyDescent="0.25">
      <c r="A259" s="22">
        <v>21.9</v>
      </c>
      <c r="B259" s="22">
        <v>1505.9754</v>
      </c>
      <c r="C259" s="22">
        <v>0.29631730735680661</v>
      </c>
      <c r="D259" s="22">
        <v>71.731373888975526</v>
      </c>
      <c r="E259" s="22">
        <v>3.0454404344865793E-2</v>
      </c>
      <c r="F259" s="22">
        <v>10186734532.284517</v>
      </c>
      <c r="G259" s="23">
        <v>9.8166885259523497E-11</v>
      </c>
      <c r="H259" s="5"/>
      <c r="I259" s="5"/>
      <c r="J259" s="5"/>
    </row>
    <row r="260" spans="1:10" x14ac:dyDescent="0.25">
      <c r="A260" s="22">
        <v>22</v>
      </c>
      <c r="B260" s="22">
        <v>1519.76</v>
      </c>
      <c r="C260" s="22">
        <v>0.29771169473917602</v>
      </c>
      <c r="D260" s="22">
        <v>71.700767080973407</v>
      </c>
      <c r="E260" s="22">
        <v>3.0606808002119124E-2</v>
      </c>
      <c r="F260" s="22">
        <v>10228788313.316565</v>
      </c>
      <c r="G260" s="23">
        <v>9.7763290173688392E-11</v>
      </c>
      <c r="H260" s="5"/>
      <c r="I260" s="5"/>
      <c r="J260" s="5"/>
    </row>
    <row r="261" spans="1:10" x14ac:dyDescent="0.25">
      <c r="A261" s="22">
        <v>22.1</v>
      </c>
      <c r="B261" s="22">
        <v>1533.6074000000003</v>
      </c>
      <c r="C261" s="22">
        <v>0.29910667895341853</v>
      </c>
      <c r="D261" s="22">
        <v>71.670007674061267</v>
      </c>
      <c r="E261" s="22">
        <v>3.0759406912139298E-2</v>
      </c>
      <c r="F261" s="22">
        <v>10270780750.174999</v>
      </c>
      <c r="G261" s="23">
        <v>9.7363581632580512E-11</v>
      </c>
      <c r="H261" s="5"/>
      <c r="I261" s="5"/>
      <c r="J261" s="5"/>
    </row>
    <row r="262" spans="1:10" x14ac:dyDescent="0.25">
      <c r="A262" s="22">
        <v>22.2</v>
      </c>
      <c r="B262" s="22">
        <v>1547.5175999999999</v>
      </c>
      <c r="C262" s="22">
        <v>0.30050226348467934</v>
      </c>
      <c r="D262" s="22">
        <v>71.63909547167664</v>
      </c>
      <c r="E262" s="22">
        <v>3.0912202384627108E-2</v>
      </c>
      <c r="F262" s="22">
        <v>10312711518.689337</v>
      </c>
      <c r="G262" s="23">
        <v>9.6967708074422316E-11</v>
      </c>
      <c r="H262" s="5"/>
      <c r="I262" s="5"/>
      <c r="J262" s="5"/>
    </row>
    <row r="263" spans="1:10" x14ac:dyDescent="0.25">
      <c r="A263" s="22">
        <v>22.3</v>
      </c>
      <c r="B263" s="22">
        <v>1561.4906000000001</v>
      </c>
      <c r="C263" s="22">
        <v>0.30189845183028946</v>
      </c>
      <c r="D263" s="22">
        <v>71.608030275940422</v>
      </c>
      <c r="E263" s="22">
        <v>3.1065195736218243E-2</v>
      </c>
      <c r="F263" s="22">
        <v>10354580294.016153</v>
      </c>
      <c r="G263" s="23">
        <v>9.6575618866743803E-11</v>
      </c>
      <c r="H263" s="5"/>
      <c r="I263" s="5"/>
      <c r="J263" s="5"/>
    </row>
    <row r="264" spans="1:10" x14ac:dyDescent="0.25">
      <c r="A264" s="22">
        <v>22.4</v>
      </c>
      <c r="B264" s="22">
        <v>1575.5264</v>
      </c>
      <c r="C264" s="22">
        <v>0.3032952474998632</v>
      </c>
      <c r="D264" s="22">
        <v>71.576811887649754</v>
      </c>
      <c r="E264" s="22">
        <v>3.1218388290668031E-2</v>
      </c>
      <c r="F264" s="22">
        <v>10396386750.594</v>
      </c>
      <c r="G264" s="23">
        <v>9.6187264286110248E-11</v>
      </c>
      <c r="H264" s="5"/>
      <c r="I264" s="5"/>
      <c r="J264" s="5"/>
    </row>
    <row r="265" spans="1:10" x14ac:dyDescent="0.25">
      <c r="A265" s="22">
        <v>22.5</v>
      </c>
      <c r="B265" s="22">
        <v>1589.6250000000002</v>
      </c>
      <c r="C265" s="22">
        <v>0.30469265401539752</v>
      </c>
      <c r="D265" s="22">
        <v>71.545440106270931</v>
      </c>
      <c r="E265" s="22">
        <v>3.1371781378823016E-2</v>
      </c>
      <c r="F265" s="22">
        <v>10438130562.169739</v>
      </c>
      <c r="G265" s="23">
        <v>9.5802595497726116E-11</v>
      </c>
      <c r="H265" s="5"/>
      <c r="I265" s="5"/>
      <c r="J265" s="5"/>
    </row>
    <row r="266" spans="1:10" x14ac:dyDescent="0.25">
      <c r="A266" s="22">
        <v>22.6</v>
      </c>
      <c r="B266" s="22">
        <v>1603.7864000000004</v>
      </c>
      <c r="C266" s="22">
        <v>0.30609067491137193</v>
      </c>
      <c r="D266" s="22">
        <v>71.513914729932111</v>
      </c>
      <c r="E266" s="22">
        <v>3.152537633881991E-2</v>
      </c>
      <c r="F266" s="22">
        <v>10479811401.749224</v>
      </c>
      <c r="G266" s="23">
        <v>9.542156453627461E-11</v>
      </c>
      <c r="H266" s="5"/>
      <c r="I266" s="5"/>
      <c r="J266" s="5"/>
    </row>
    <row r="267" spans="1:10" x14ac:dyDescent="0.25">
      <c r="A267" s="22">
        <v>22.7</v>
      </c>
      <c r="B267" s="22">
        <v>1618.0106000000001</v>
      </c>
      <c r="C267" s="22">
        <v>0.30748931373484872</v>
      </c>
      <c r="D267" s="22">
        <v>71.482235555416153</v>
      </c>
      <c r="E267" s="22">
        <v>3.1679174515957698E-2</v>
      </c>
      <c r="F267" s="22">
        <v>10521428941.656994</v>
      </c>
      <c r="G267" s="23">
        <v>9.5044124286269469E-11</v>
      </c>
      <c r="H267" s="5"/>
      <c r="I267" s="5"/>
      <c r="J267" s="5"/>
    </row>
    <row r="268" spans="1:10" x14ac:dyDescent="0.25">
      <c r="A268" s="22">
        <v>22.8</v>
      </c>
      <c r="B268" s="22">
        <v>1632.2976000000001</v>
      </c>
      <c r="C268" s="22">
        <v>0.30888857404557496</v>
      </c>
      <c r="D268" s="22">
        <v>71.4504023781532</v>
      </c>
      <c r="E268" s="22">
        <v>3.1833177262953427E-2</v>
      </c>
      <c r="F268" s="22">
        <v>10562982853.468489</v>
      </c>
      <c r="G268" s="23">
        <v>9.467022846407797E-11</v>
      </c>
      <c r="H268" s="5"/>
      <c r="I268" s="5"/>
      <c r="J268" s="5"/>
    </row>
    <row r="269" spans="1:10" x14ac:dyDescent="0.25">
      <c r="A269" s="22">
        <v>22.9</v>
      </c>
      <c r="B269" s="22">
        <v>1646.6473999999996</v>
      </c>
      <c r="C269" s="22">
        <v>0.31028845941608379</v>
      </c>
      <c r="D269" s="22">
        <v>71.418414992213314</v>
      </c>
      <c r="E269" s="22">
        <v>3.1987385939885371E-2</v>
      </c>
      <c r="F269" s="22">
        <v>10604472808.046392</v>
      </c>
      <c r="G269" s="23">
        <v>9.4299831599476259E-11</v>
      </c>
      <c r="H269" s="5"/>
      <c r="I269" s="5"/>
      <c r="J269" s="5"/>
    </row>
    <row r="270" spans="1:10" x14ac:dyDescent="0.25">
      <c r="A270" s="22">
        <v>23</v>
      </c>
      <c r="B270" s="22">
        <v>1661.06</v>
      </c>
      <c r="C270" s="22">
        <v>0.3116889734317983</v>
      </c>
      <c r="D270" s="22">
        <v>71.386273190298994</v>
      </c>
      <c r="E270" s="22">
        <v>3.2141801914320922E-2</v>
      </c>
      <c r="F270" s="22">
        <v>10645898475.515802</v>
      </c>
      <c r="G270" s="23">
        <v>9.3932889018232831E-11</v>
      </c>
      <c r="H270" s="5"/>
      <c r="I270" s="5"/>
      <c r="J270" s="5"/>
    </row>
    <row r="271" spans="1:10" x14ac:dyDescent="0.25">
      <c r="A271" s="22">
        <v>23.1</v>
      </c>
      <c r="B271" s="22">
        <v>1675.5354000000002</v>
      </c>
      <c r="C271" s="22">
        <v>0.31309011969113454</v>
      </c>
      <c r="D271" s="22">
        <v>71.353976763737563</v>
      </c>
      <c r="E271" s="22">
        <v>3.229642656143028E-2</v>
      </c>
      <c r="F271" s="22">
        <v>10687259525.244339</v>
      </c>
      <c r="G271" s="23">
        <v>9.3569356825096592E-11</v>
      </c>
      <c r="H271" s="5"/>
      <c r="I271" s="5"/>
      <c r="J271" s="5"/>
    </row>
    <row r="272" spans="1:10" x14ac:dyDescent="0.25">
      <c r="A272" s="22">
        <v>23.2</v>
      </c>
      <c r="B272" s="22">
        <v>1690.0735999999999</v>
      </c>
      <c r="C272" s="22">
        <v>0.31449190180560677</v>
      </c>
      <c r="D272" s="22">
        <v>71.321525502473662</v>
      </c>
      <c r="E272" s="22">
        <v>3.2451261263901188E-2</v>
      </c>
      <c r="F272" s="22">
        <v>10728555625.888355</v>
      </c>
      <c r="G272" s="23">
        <v>9.3209191886647569E-11</v>
      </c>
      <c r="H272" s="5"/>
      <c r="I272" s="5"/>
      <c r="J272" s="5"/>
    </row>
    <row r="273" spans="1:10" x14ac:dyDescent="0.25">
      <c r="A273" s="22">
        <v>23.3</v>
      </c>
      <c r="B273" s="22">
        <v>1704.6746000000003</v>
      </c>
      <c r="C273" s="22">
        <v>0.31589432339993256</v>
      </c>
      <c r="D273" s="22">
        <v>71.288919195061439</v>
      </c>
      <c r="E273" s="22">
        <v>3.2606307412223146E-2</v>
      </c>
      <c r="F273" s="22">
        <v>10769786445.317001</v>
      </c>
      <c r="G273" s="23">
        <v>9.285235181565066E-11</v>
      </c>
      <c r="H273" s="5"/>
      <c r="I273" s="5"/>
      <c r="J273" s="5"/>
    </row>
    <row r="274" spans="1:10" x14ac:dyDescent="0.25">
      <c r="A274" s="22">
        <v>23.4</v>
      </c>
      <c r="B274" s="22">
        <v>1719.3383999999999</v>
      </c>
      <c r="C274" s="22">
        <v>0.31729738811213926</v>
      </c>
      <c r="D274" s="22">
        <v>71.256157628656908</v>
      </c>
      <c r="E274" s="22">
        <v>3.2761566404531095E-2</v>
      </c>
      <c r="F274" s="22">
        <v>10810951650.682201</v>
      </c>
      <c r="G274" s="23">
        <v>9.2498794954549372E-11</v>
      </c>
      <c r="H274" s="5"/>
      <c r="I274" s="5"/>
      <c r="J274" s="5"/>
    </row>
    <row r="275" spans="1:10" x14ac:dyDescent="0.25">
      <c r="A275" s="22">
        <v>23.5</v>
      </c>
      <c r="B275" s="22">
        <v>1734.0650000000001</v>
      </c>
      <c r="C275" s="22">
        <v>0.31870109959367121</v>
      </c>
      <c r="D275" s="22">
        <v>71.22324058900999</v>
      </c>
      <c r="E275" s="22">
        <v>3.2917039646918056E-2</v>
      </c>
      <c r="F275" s="22">
        <v>10852050908.333897</v>
      </c>
      <c r="G275" s="23">
        <v>9.2148480360707126E-11</v>
      </c>
      <c r="H275" s="5"/>
      <c r="I275" s="5"/>
      <c r="J275" s="5"/>
    </row>
    <row r="276" spans="1:10" x14ac:dyDescent="0.25">
      <c r="A276" s="22">
        <v>23.6</v>
      </c>
      <c r="B276" s="22">
        <v>1748.8544000000004</v>
      </c>
      <c r="C276" s="22">
        <v>0.32010546150949765</v>
      </c>
      <c r="D276" s="22">
        <v>71.190167860456683</v>
      </c>
      <c r="E276" s="22">
        <v>3.3072728553307229E-2</v>
      </c>
      <c r="F276" s="22">
        <v>10893083883.880943</v>
      </c>
      <c r="G276" s="23">
        <v>9.1801367790782497E-11</v>
      </c>
      <c r="H276" s="5"/>
      <c r="I276" s="5"/>
      <c r="J276" s="5"/>
    </row>
    <row r="277" spans="1:10" x14ac:dyDescent="0.25">
      <c r="A277" s="22">
        <v>23.7</v>
      </c>
      <c r="B277" s="22">
        <v>1763.7066000000002</v>
      </c>
      <c r="C277" s="22">
        <v>0.3215104775382216</v>
      </c>
      <c r="D277" s="22">
        <v>71.15693922591106</v>
      </c>
      <c r="E277" s="22">
        <v>3.3228634545622526E-2</v>
      </c>
      <c r="F277" s="22">
        <v>10934050242.153677</v>
      </c>
      <c r="G277" s="23">
        <v>9.1457417686333056E-11</v>
      </c>
      <c r="H277" s="5"/>
      <c r="I277" s="5"/>
      <c r="J277" s="5"/>
    </row>
    <row r="278" spans="1:10" x14ac:dyDescent="0.25">
      <c r="A278" s="22">
        <v>23.8</v>
      </c>
      <c r="B278" s="22">
        <v>1778.6215999999999</v>
      </c>
      <c r="C278" s="22">
        <v>0.32291615137218987</v>
      </c>
      <c r="D278" s="22">
        <v>71.123554466857186</v>
      </c>
      <c r="E278" s="22">
        <v>3.3384759053873836E-2</v>
      </c>
      <c r="F278" s="22">
        <v>10974949647.194918</v>
      </c>
      <c r="G278" s="23">
        <v>9.1116591159540271E-11</v>
      </c>
      <c r="H278" s="5"/>
      <c r="I278" s="5"/>
      <c r="J278" s="5"/>
    </row>
    <row r="279" spans="1:10" x14ac:dyDescent="0.25">
      <c r="A279" s="22">
        <v>23.9</v>
      </c>
      <c r="B279" s="22">
        <v>1793.5993999999996</v>
      </c>
      <c r="C279" s="22">
        <v>0.32432248671760361</v>
      </c>
      <c r="D279" s="22">
        <v>71.090013363340987</v>
      </c>
      <c r="E279" s="22">
        <v>3.3541103516199655E-2</v>
      </c>
      <c r="F279" s="22">
        <v>11015781762.265158</v>
      </c>
      <c r="G279" s="23">
        <v>9.0778849979174931E-11</v>
      </c>
      <c r="H279" s="5"/>
      <c r="I279" s="5"/>
      <c r="J279" s="5"/>
    </row>
    <row r="280" spans="1:10" x14ac:dyDescent="0.25">
      <c r="A280" s="22">
        <v>24</v>
      </c>
      <c r="B280" s="22">
        <v>1808.6399999999999</v>
      </c>
      <c r="C280" s="22">
        <v>0.32572948729463019</v>
      </c>
      <c r="D280" s="22">
        <v>71.056315693962063</v>
      </c>
      <c r="E280" s="22">
        <v>3.3697669378923933E-2</v>
      </c>
      <c r="F280" s="22">
        <v>11056546249.843275</v>
      </c>
      <c r="G280" s="23">
        <v>9.0444156556951481E-11</v>
      </c>
      <c r="H280" s="5"/>
      <c r="I280" s="5"/>
      <c r="J280" s="5"/>
    </row>
    <row r="281" spans="1:10" x14ac:dyDescent="0.25">
      <c r="A281" s="22">
        <v>24.1</v>
      </c>
      <c r="B281" s="22">
        <v>1823.7434000000003</v>
      </c>
      <c r="C281" s="22">
        <v>0.32713715683751499</v>
      </c>
      <c r="D281" s="22">
        <v>71.022461235865379</v>
      </c>
      <c r="E281" s="22">
        <v>3.385445809668397E-2</v>
      </c>
      <c r="F281" s="22">
        <v>11097242771.604099</v>
      </c>
      <c r="G281" s="23">
        <v>9.0112473934410529E-11</v>
      </c>
      <c r="H281" s="5"/>
      <c r="I281" s="5"/>
      <c r="J281" s="5"/>
    </row>
    <row r="282" spans="1:10" x14ac:dyDescent="0.25">
      <c r="A282" s="22">
        <v>24.2</v>
      </c>
      <c r="B282" s="22">
        <v>1838.9096</v>
      </c>
      <c r="C282" s="22">
        <v>0.3285454990946956</v>
      </c>
      <c r="D282" s="22">
        <v>70.988449764732849</v>
      </c>
      <c r="E282" s="22">
        <v>3.4011471132529891E-2</v>
      </c>
      <c r="F282" s="22">
        <v>11137870988.405622</v>
      </c>
      <c r="G282" s="23">
        <v>8.9783765770045898E-11</v>
      </c>
      <c r="H282" s="5"/>
      <c r="I282" s="5"/>
      <c r="J282" s="5"/>
    </row>
    <row r="283" spans="1:10" x14ac:dyDescent="0.25">
      <c r="A283" s="22">
        <v>24.3</v>
      </c>
      <c r="B283" s="22">
        <v>1854.1386000000002</v>
      </c>
      <c r="C283" s="22">
        <v>0.32995451782891616</v>
      </c>
      <c r="D283" s="22">
        <v>70.954281054774981</v>
      </c>
      <c r="E283" s="22">
        <v>3.4168709957867804E-2</v>
      </c>
      <c r="F283" s="22">
        <v>11178430560.327618</v>
      </c>
      <c r="G283" s="23">
        <v>8.9457996326336892E-11</v>
      </c>
      <c r="H283" s="5"/>
      <c r="I283" s="5"/>
      <c r="J283" s="5"/>
    </row>
    <row r="284" spans="1:10" x14ac:dyDescent="0.25">
      <c r="A284" s="22">
        <v>24.4</v>
      </c>
      <c r="B284" s="22">
        <v>1869.4304</v>
      </c>
      <c r="C284" s="22">
        <v>0.33136421681734196</v>
      </c>
      <c r="D284" s="22">
        <v>70.919954878722251</v>
      </c>
      <c r="E284" s="22">
        <v>3.4326176052729807E-2</v>
      </c>
      <c r="F284" s="22">
        <v>11218921146.603352</v>
      </c>
      <c r="G284" s="23">
        <v>8.9135130457955009E-11</v>
      </c>
      <c r="H284" s="5"/>
      <c r="I284" s="5"/>
      <c r="J284" s="5"/>
    </row>
    <row r="285" spans="1:10" x14ac:dyDescent="0.25">
      <c r="A285" s="22">
        <v>24.5</v>
      </c>
      <c r="B285" s="22">
        <v>1884.7850000000001</v>
      </c>
      <c r="C285" s="22">
        <v>0.33277459985167679</v>
      </c>
      <c r="D285" s="22">
        <v>70.885471007816548</v>
      </c>
      <c r="E285" s="22">
        <v>3.4483870905702929E-2</v>
      </c>
      <c r="F285" s="22">
        <v>11259342405.663303</v>
      </c>
      <c r="G285" s="23">
        <v>8.8815133599366605E-11</v>
      </c>
      <c r="H285" s="5"/>
      <c r="I285" s="5"/>
      <c r="J285" s="5"/>
    </row>
    <row r="286" spans="1:10" x14ac:dyDescent="0.25">
      <c r="A286" s="22">
        <v>24.6</v>
      </c>
      <c r="B286" s="22">
        <v>1900.2024000000004</v>
      </c>
      <c r="C286" s="22">
        <v>0.33418567073827921</v>
      </c>
      <c r="D286" s="22">
        <v>70.850829211802449</v>
      </c>
      <c r="E286" s="22">
        <v>3.4641796014099668E-2</v>
      </c>
      <c r="F286" s="22">
        <v>11299693995.09997</v>
      </c>
      <c r="G286" s="23">
        <v>8.8497971753362772E-11</v>
      </c>
      <c r="H286" s="5"/>
      <c r="I286" s="5"/>
      <c r="J286" s="5"/>
    </row>
    <row r="287" spans="1:10" x14ac:dyDescent="0.25">
      <c r="A287" s="22">
        <v>24.7</v>
      </c>
      <c r="B287" s="22">
        <v>1915.6826000000001</v>
      </c>
      <c r="C287" s="22">
        <v>0.33559743329828151</v>
      </c>
      <c r="D287" s="22">
        <v>70.816029258918491</v>
      </c>
      <c r="E287" s="22">
        <v>3.4799952883957985E-2</v>
      </c>
      <c r="F287" s="22">
        <v>11339975571.688663</v>
      </c>
      <c r="G287" s="23">
        <v>8.8183611479428219E-11</v>
      </c>
      <c r="H287" s="5"/>
      <c r="I287" s="5"/>
      <c r="J287" s="5"/>
    </row>
    <row r="288" spans="1:10" x14ac:dyDescent="0.25">
      <c r="A288" s="22">
        <v>24.8</v>
      </c>
      <c r="B288" s="22">
        <v>1931.2256</v>
      </c>
      <c r="C288" s="22">
        <v>0.33700989136770848</v>
      </c>
      <c r="D288" s="22">
        <v>70.781070915888236</v>
      </c>
      <c r="E288" s="22">
        <v>3.4958343030254468E-2</v>
      </c>
      <c r="F288" s="22">
        <v>11380186791.33901</v>
      </c>
      <c r="G288" s="23">
        <v>8.7872019882930103E-11</v>
      </c>
      <c r="H288" s="5"/>
      <c r="I288" s="5"/>
      <c r="J288" s="5"/>
    </row>
    <row r="289" spans="1:10" x14ac:dyDescent="0.25">
      <c r="A289" s="22">
        <v>24.9</v>
      </c>
      <c r="B289" s="22">
        <v>1946.8313999999998</v>
      </c>
      <c r="C289" s="22">
        <v>0.33842304879759799</v>
      </c>
      <c r="D289" s="22">
        <v>70.745953947911403</v>
      </c>
      <c r="E289" s="22">
        <v>3.511696797683328E-2</v>
      </c>
      <c r="F289" s="22">
        <v>11420327309.139317</v>
      </c>
      <c r="G289" s="23">
        <v>8.7563164603849185E-11</v>
      </c>
      <c r="H289" s="5"/>
      <c r="I289" s="5"/>
      <c r="J289" s="5"/>
    </row>
    <row r="290" spans="1:10" x14ac:dyDescent="0.25">
      <c r="A290" s="22">
        <v>25</v>
      </c>
      <c r="B290" s="22">
        <v>1962.5</v>
      </c>
      <c r="C290" s="22">
        <v>0.33983690945412193</v>
      </c>
      <c r="D290" s="22">
        <v>70.710678118654755</v>
      </c>
      <c r="E290" s="22">
        <v>3.5275829256647739E-2</v>
      </c>
      <c r="F290" s="22">
        <v>11460396779.299364</v>
      </c>
      <c r="G290" s="23">
        <v>8.7257013806561707E-11</v>
      </c>
      <c r="H290" s="5"/>
      <c r="I290" s="5"/>
      <c r="J290" s="5"/>
    </row>
    <row r="291" spans="1:10" x14ac:dyDescent="0.25">
      <c r="A291" s="22">
        <v>25.1</v>
      </c>
      <c r="B291" s="22">
        <v>1978.2314000000003</v>
      </c>
      <c r="C291" s="22">
        <v>0.34125147721870869</v>
      </c>
      <c r="D291" s="22">
        <v>70.675243190243066</v>
      </c>
      <c r="E291" s="22">
        <v>3.543492841168927E-2</v>
      </c>
      <c r="F291" s="22">
        <v>11500394855.19516</v>
      </c>
      <c r="G291" s="23">
        <v>8.6953536169087485E-11</v>
      </c>
      <c r="H291" s="5"/>
      <c r="I291" s="5"/>
      <c r="J291" s="5"/>
    </row>
    <row r="292" spans="1:10" x14ac:dyDescent="0.25">
      <c r="A292" s="22">
        <v>25.2</v>
      </c>
      <c r="B292" s="22">
        <v>1994.0255999999999</v>
      </c>
      <c r="C292" s="22">
        <v>0.34266675598816637</v>
      </c>
      <c r="D292" s="22">
        <v>70.639648923249894</v>
      </c>
      <c r="E292" s="22">
        <v>3.5594266993172141E-2</v>
      </c>
      <c r="F292" s="22">
        <v>11540321189.330732</v>
      </c>
      <c r="G292" s="23">
        <v>8.6652700873223606E-11</v>
      </c>
      <c r="H292" s="5"/>
      <c r="I292" s="5"/>
      <c r="J292" s="5"/>
    </row>
    <row r="293" spans="1:10" x14ac:dyDescent="0.25">
      <c r="A293" s="22">
        <v>25.3</v>
      </c>
      <c r="B293" s="22">
        <v>2009.8826000000001</v>
      </c>
      <c r="C293" s="22">
        <v>0.34408274967480723</v>
      </c>
      <c r="D293" s="22">
        <v>70.603895076688232</v>
      </c>
      <c r="E293" s="22">
        <v>3.5753846561661362E-2</v>
      </c>
      <c r="F293" s="22">
        <v>11580175433.318779</v>
      </c>
      <c r="G293" s="23">
        <v>8.6354477594767195E-11</v>
      </c>
      <c r="H293" s="5"/>
      <c r="I293" s="5"/>
      <c r="J293" s="5"/>
    </row>
    <row r="294" spans="1:10" x14ac:dyDescent="0.25">
      <c r="A294" s="22">
        <v>25.4</v>
      </c>
      <c r="B294" s="22">
        <v>2025.8023999999998</v>
      </c>
      <c r="C294" s="22">
        <v>0.34549946220657313</v>
      </c>
      <c r="D294" s="22">
        <v>70.567981408001174</v>
      </c>
      <c r="E294" s="22">
        <v>3.5913668687058475E-2</v>
      </c>
      <c r="F294" s="22">
        <v>11619957237.907581</v>
      </c>
      <c r="G294" s="23">
        <v>8.6058836493624746E-11</v>
      </c>
      <c r="H294" s="5"/>
      <c r="I294" s="5"/>
      <c r="J294" s="5"/>
    </row>
    <row r="295" spans="1:10" x14ac:dyDescent="0.25">
      <c r="A295" s="22">
        <v>25.5</v>
      </c>
      <c r="B295" s="22">
        <v>2041.7850000000001</v>
      </c>
      <c r="C295" s="22">
        <v>0.34691689752716176</v>
      </c>
      <c r="D295" s="22">
        <v>70.531907673052487</v>
      </c>
      <c r="E295" s="22">
        <v>3.607373494868682E-2</v>
      </c>
      <c r="F295" s="22">
        <v>11659666252.975872</v>
      </c>
      <c r="G295" s="23">
        <v>8.5765748204394112E-11</v>
      </c>
      <c r="H295" s="5"/>
      <c r="I295" s="5"/>
      <c r="J295" s="5"/>
    </row>
    <row r="296" spans="1:10" x14ac:dyDescent="0.25">
      <c r="A296" s="22">
        <v>25.6</v>
      </c>
      <c r="B296" s="22">
        <v>2057.8304000000003</v>
      </c>
      <c r="C296" s="22">
        <v>0.34833505959615446</v>
      </c>
      <c r="D296" s="22">
        <v>70.49567362611694</v>
      </c>
      <c r="E296" s="22">
        <v>3.6234046935547326E-2</v>
      </c>
      <c r="F296" s="22">
        <v>11699302127.472853</v>
      </c>
      <c r="G296" s="23">
        <v>8.5475183827568046E-11</v>
      </c>
      <c r="H296" s="5"/>
      <c r="I296" s="5"/>
      <c r="J296" s="5"/>
    </row>
    <row r="297" spans="1:10" x14ac:dyDescent="0.25">
      <c r="A297" s="22">
        <v>25.7</v>
      </c>
      <c r="B297" s="22">
        <v>2073.9386</v>
      </c>
      <c r="C297" s="22">
        <v>0.34975395238914503</v>
      </c>
      <c r="D297" s="22">
        <v>70.459279019870763</v>
      </c>
      <c r="E297" s="22">
        <v>3.6394606246176409E-2</v>
      </c>
      <c r="F297" s="22">
        <v>11738864509.48716</v>
      </c>
      <c r="G297" s="23">
        <v>8.5187114920000675E-11</v>
      </c>
      <c r="H297" s="5"/>
      <c r="I297" s="5"/>
      <c r="J297" s="5"/>
    </row>
    <row r="298" spans="1:10" x14ac:dyDescent="0.25">
      <c r="A298" s="22">
        <v>25.8</v>
      </c>
      <c r="B298" s="22">
        <v>2090.1096000000002</v>
      </c>
      <c r="C298" s="22">
        <v>0.35117357989786924</v>
      </c>
      <c r="D298" s="22">
        <v>70.422723605381805</v>
      </c>
      <c r="E298" s="22">
        <v>3.6555414488958604E-2</v>
      </c>
      <c r="F298" s="22">
        <v>11778353046.169111</v>
      </c>
      <c r="G298" s="23">
        <v>8.4901513486662576E-11</v>
      </c>
      <c r="H298" s="5"/>
      <c r="I298" s="5"/>
      <c r="J298" s="5"/>
    </row>
    <row r="299" spans="1:10" x14ac:dyDescent="0.25">
      <c r="A299" s="22">
        <v>25.9</v>
      </c>
      <c r="B299" s="22">
        <v>2106.3433999999997</v>
      </c>
      <c r="C299" s="22">
        <v>0.35259394613033573</v>
      </c>
      <c r="D299" s="22">
        <v>70.386007132099778</v>
      </c>
      <c r="E299" s="22">
        <v>3.6716473282027096E-2</v>
      </c>
      <c r="F299" s="22">
        <v>11817767383.786274</v>
      </c>
      <c r="G299" s="23">
        <v>8.4618351971623575E-11</v>
      </c>
      <c r="H299" s="5"/>
      <c r="I299" s="5"/>
      <c r="J299" s="5"/>
    </row>
    <row r="300" spans="1:10" x14ac:dyDescent="0.25">
      <c r="A300" s="22">
        <v>26</v>
      </c>
      <c r="B300" s="22">
        <v>2122.64</v>
      </c>
      <c r="C300" s="22">
        <v>0.35401505511095854</v>
      </c>
      <c r="D300" s="22">
        <v>70.34912934784623</v>
      </c>
      <c r="E300" s="22">
        <v>3.6877784253547929E-2</v>
      </c>
      <c r="F300" s="22">
        <v>11857107167.655602</v>
      </c>
      <c r="G300" s="23">
        <v>8.4337603250129086E-11</v>
      </c>
      <c r="H300" s="5"/>
      <c r="I300" s="5"/>
      <c r="J300" s="5"/>
    </row>
    <row r="301" spans="1:10" x14ac:dyDescent="0.25">
      <c r="A301" s="22">
        <v>26.1</v>
      </c>
      <c r="B301" s="22">
        <v>2138.9994000000002</v>
      </c>
      <c r="C301" s="22">
        <v>0.35543691088068957</v>
      </c>
      <c r="D301" s="22">
        <v>70.312089998804609</v>
      </c>
      <c r="E301" s="22">
        <v>3.703934904162054E-2</v>
      </c>
      <c r="F301" s="22">
        <v>11896372042.199408</v>
      </c>
      <c r="G301" s="23">
        <v>8.4059240619976398E-11</v>
      </c>
      <c r="H301" s="5"/>
      <c r="I301" s="5"/>
      <c r="J301" s="5"/>
    </row>
    <row r="302" spans="1:10" x14ac:dyDescent="0.25">
      <c r="A302" s="22">
        <v>26.2</v>
      </c>
      <c r="B302" s="22">
        <v>2155.4216000000001</v>
      </c>
      <c r="C302" s="22">
        <v>0.35685951749715344</v>
      </c>
      <c r="D302" s="22">
        <v>70.274888829510076</v>
      </c>
      <c r="E302" s="22">
        <v>3.7201169294533543E-2</v>
      </c>
      <c r="F302" s="22">
        <v>11935561650.887281</v>
      </c>
      <c r="G302" s="23">
        <v>8.3783237793896424E-11</v>
      </c>
      <c r="H302" s="5"/>
      <c r="I302" s="5"/>
      <c r="J302" s="5"/>
    </row>
    <row r="303" spans="1:10" x14ac:dyDescent="0.25">
      <c r="A303" s="22">
        <v>26.3</v>
      </c>
      <c r="B303" s="22">
        <v>2171.9066000000003</v>
      </c>
      <c r="C303" s="22">
        <v>0.35828287903478329</v>
      </c>
      <c r="D303" s="22">
        <v>70.237525582839268</v>
      </c>
      <c r="E303" s="22">
        <v>3.7363246670807371E-2</v>
      </c>
      <c r="F303" s="22">
        <v>11974675636.246897</v>
      </c>
      <c r="G303" s="23">
        <v>8.3509568891623023E-11</v>
      </c>
      <c r="H303" s="5"/>
      <c r="I303" s="5"/>
      <c r="J303" s="5"/>
    </row>
    <row r="304" spans="1:10" x14ac:dyDescent="0.25">
      <c r="A304" s="22">
        <v>26.4</v>
      </c>
      <c r="B304" s="22">
        <v>2188.4544000000001</v>
      </c>
      <c r="C304" s="22">
        <v>0.35970699958495655</v>
      </c>
      <c r="D304" s="22">
        <v>70.199999999999989</v>
      </c>
      <c r="E304" s="22">
        <v>3.7525582839279537E-2</v>
      </c>
      <c r="F304" s="22">
        <v>12013713639.861362</v>
      </c>
      <c r="G304" s="23">
        <v>8.3238208432237944E-11</v>
      </c>
      <c r="H304" s="5"/>
      <c r="I304" s="5"/>
      <c r="J304" s="5"/>
    </row>
    <row r="305" spans="1:10" x14ac:dyDescent="0.25">
      <c r="A305" s="22">
        <v>26.5</v>
      </c>
      <c r="B305" s="22">
        <v>2205.0650000000001</v>
      </c>
      <c r="C305" s="22">
        <v>0.36113188325613399</v>
      </c>
      <c r="D305" s="22">
        <v>70.162311820520856</v>
      </c>
      <c r="E305" s="22">
        <v>3.7688179479133055E-2</v>
      </c>
      <c r="F305" s="22">
        <v>12052675302.384996</v>
      </c>
      <c r="G305" s="23">
        <v>8.2969131326562732E-11</v>
      </c>
      <c r="H305" s="5"/>
      <c r="I305" s="5"/>
      <c r="J305" s="5"/>
    </row>
    <row r="306" spans="1:10" x14ac:dyDescent="0.25">
      <c r="A306" s="22">
        <v>26.6</v>
      </c>
      <c r="B306" s="22">
        <v>2221.7384000000002</v>
      </c>
      <c r="C306" s="22">
        <v>0.36255753417399811</v>
      </c>
      <c r="D306" s="22">
        <v>70.124460782240604</v>
      </c>
      <c r="E306" s="22">
        <v>3.7851038280251714E-2</v>
      </c>
      <c r="F306" s="22">
        <v>12091560263.454849</v>
      </c>
      <c r="G306" s="23">
        <v>8.2702312870438113E-11</v>
      </c>
      <c r="H306" s="5"/>
      <c r="I306" s="5"/>
      <c r="J306" s="5"/>
    </row>
    <row r="307" spans="1:10" x14ac:dyDescent="0.25">
      <c r="A307" s="22">
        <v>26.7</v>
      </c>
      <c r="B307" s="22">
        <v>2238.4746</v>
      </c>
      <c r="C307" s="22">
        <v>0.36398395648159393</v>
      </c>
      <c r="D307" s="22">
        <v>70.086446621297625</v>
      </c>
      <c r="E307" s="22">
        <v>3.8014160942978492E-2</v>
      </c>
      <c r="F307" s="22">
        <v>12130368161.793493</v>
      </c>
      <c r="G307" s="23">
        <v>8.2437728736845571E-11</v>
      </c>
      <c r="H307" s="5"/>
      <c r="I307" s="5"/>
      <c r="J307" s="5"/>
    </row>
    <row r="308" spans="1:10" x14ac:dyDescent="0.25">
      <c r="A308" s="22">
        <v>26.8</v>
      </c>
      <c r="B308" s="22">
        <v>2255.2736</v>
      </c>
      <c r="C308" s="22">
        <v>0.36541115433947036</v>
      </c>
      <c r="D308" s="22">
        <v>70.048269072119112</v>
      </c>
      <c r="E308" s="22">
        <v>3.8177549178513459E-2</v>
      </c>
      <c r="F308" s="22">
        <v>12169098635.107563</v>
      </c>
      <c r="G308" s="23">
        <v>8.2175354969596803E-11</v>
      </c>
      <c r="H308" s="5"/>
      <c r="I308" s="5"/>
      <c r="J308" s="5"/>
    </row>
    <row r="309" spans="1:10" x14ac:dyDescent="0.25">
      <c r="A309" s="22">
        <v>26.9</v>
      </c>
      <c r="B309" s="22">
        <v>2272.1353999999997</v>
      </c>
      <c r="C309" s="22">
        <v>0.36683913192582335</v>
      </c>
      <c r="D309" s="22">
        <v>70.009927867410354</v>
      </c>
      <c r="E309" s="22">
        <v>3.8341204708757459E-2</v>
      </c>
      <c r="F309" s="22">
        <v>12207751320.163683</v>
      </c>
      <c r="G309" s="23">
        <v>8.1915167975963646E-11</v>
      </c>
      <c r="H309" s="5"/>
      <c r="I309" s="5"/>
      <c r="J309" s="5"/>
    </row>
    <row r="310" spans="1:10" x14ac:dyDescent="0.25">
      <c r="A310" s="22">
        <v>27</v>
      </c>
      <c r="B310" s="22">
        <v>2289.06</v>
      </c>
      <c r="C310" s="22">
        <v>0.36826789343664001</v>
      </c>
      <c r="D310" s="22">
        <v>69.971422738143602</v>
      </c>
      <c r="E310" s="22">
        <v>3.8505129266752647E-2</v>
      </c>
      <c r="F310" s="22">
        <v>12246325852.674332</v>
      </c>
      <c r="G310" s="23">
        <v>8.1657144520747973E-11</v>
      </c>
      <c r="H310" s="5"/>
      <c r="I310" s="5"/>
      <c r="J310" s="5"/>
    </row>
    <row r="311" spans="1:10" x14ac:dyDescent="0.25">
      <c r="A311" s="22">
        <v>27.1</v>
      </c>
      <c r="B311" s="22">
        <v>2306.0474000000004</v>
      </c>
      <c r="C311" s="22">
        <v>0.36969744308584379</v>
      </c>
      <c r="D311" s="22">
        <v>69.932753413547218</v>
      </c>
      <c r="E311" s="22">
        <v>3.8669324596384058E-2</v>
      </c>
      <c r="F311" s="22">
        <v>12284821867.41946</v>
      </c>
      <c r="G311" s="23">
        <v>8.1401261718909982E-11</v>
      </c>
      <c r="H311" s="5"/>
      <c r="I311" s="5"/>
      <c r="J311" s="5"/>
    </row>
    <row r="312" spans="1:10" x14ac:dyDescent="0.25">
      <c r="A312" s="22">
        <v>27.2</v>
      </c>
      <c r="B312" s="22">
        <v>2323.0976000000001</v>
      </c>
      <c r="C312" s="22">
        <v>0.37112778510544164</v>
      </c>
      <c r="D312" s="22">
        <v>69.893919621094369</v>
      </c>
      <c r="E312" s="22">
        <v>3.883379245284857E-2</v>
      </c>
      <c r="F312" s="22">
        <v>12323238998.124079</v>
      </c>
      <c r="G312" s="23">
        <v>8.1147497029979399E-11</v>
      </c>
      <c r="H312" s="5"/>
      <c r="I312" s="5"/>
      <c r="J312" s="5"/>
    </row>
    <row r="313" spans="1:10" x14ac:dyDescent="0.25">
      <c r="A313" s="22">
        <v>27.3</v>
      </c>
      <c r="B313" s="22">
        <v>2340.2106000000003</v>
      </c>
      <c r="C313" s="22">
        <v>0.37255892374567212</v>
      </c>
      <c r="D313" s="22">
        <v>69.854921086491828</v>
      </c>
      <c r="E313" s="22">
        <v>3.8998534602541213E-2</v>
      </c>
      <c r="F313" s="22">
        <v>12361576877.521616</v>
      </c>
      <c r="G313" s="23">
        <v>8.0895828251362296E-11</v>
      </c>
      <c r="H313" s="5"/>
      <c r="I313" s="5"/>
      <c r="J313" s="5"/>
    </row>
    <row r="314" spans="1:10" x14ac:dyDescent="0.25">
      <c r="A314" s="22">
        <v>27.4</v>
      </c>
      <c r="B314" s="22">
        <v>2357.3863999999999</v>
      </c>
      <c r="C314" s="22">
        <v>0.37399086327515435</v>
      </c>
      <c r="D314" s="22">
        <v>69.815757533668574</v>
      </c>
      <c r="E314" s="22">
        <v>3.9163552823254122E-2</v>
      </c>
      <c r="F314" s="22">
        <v>12399835137.318102</v>
      </c>
      <c r="G314" s="23">
        <v>8.0646233512446924E-11</v>
      </c>
      <c r="H314" s="5"/>
      <c r="I314" s="5"/>
      <c r="J314" s="5"/>
    </row>
    <row r="315" spans="1:10" x14ac:dyDescent="0.25">
      <c r="A315" s="22">
        <v>27.5</v>
      </c>
      <c r="B315" s="22">
        <v>2374.6250000000005</v>
      </c>
      <c r="C315" s="22">
        <v>0.37542360798103941</v>
      </c>
      <c r="D315" s="22">
        <v>69.776428684764312</v>
      </c>
      <c r="E315" s="22">
        <v>3.9328848904261804E-2</v>
      </c>
      <c r="F315" s="22">
        <v>12438013408.192879</v>
      </c>
      <c r="G315" s="23">
        <v>8.039869126859948E-11</v>
      </c>
      <c r="H315" s="5"/>
      <c r="I315" s="5"/>
      <c r="J315" s="5"/>
    </row>
    <row r="316" spans="1:10" x14ac:dyDescent="0.25">
      <c r="A316" s="22">
        <v>27.6</v>
      </c>
      <c r="B316" s="22">
        <v>2391.9264000000003</v>
      </c>
      <c r="C316" s="22">
        <v>0.37685716216916199</v>
      </c>
      <c r="D316" s="22">
        <v>69.736934260117863</v>
      </c>
      <c r="E316" s="22">
        <v>3.9494424646449033E-2</v>
      </c>
      <c r="F316" s="22">
        <v>12476111319.786053</v>
      </c>
      <c r="G316" s="23">
        <v>8.0153180295376571E-11</v>
      </c>
      <c r="H316" s="5"/>
      <c r="I316" s="5"/>
      <c r="J316" s="5"/>
    </row>
    <row r="317" spans="1:10" x14ac:dyDescent="0.25">
      <c r="A317" s="22">
        <v>27.7</v>
      </c>
      <c r="B317" s="22">
        <v>2409.2905999999998</v>
      </c>
      <c r="C317" s="22">
        <v>0.37829153016419437</v>
      </c>
      <c r="D317" s="22">
        <v>69.697273978255424</v>
      </c>
      <c r="E317" s="22">
        <v>3.9660281862438751E-2</v>
      </c>
      <c r="F317" s="22">
        <v>12514128500.686382</v>
      </c>
      <c r="G317" s="23">
        <v>7.9909679682860176E-11</v>
      </c>
      <c r="H317" s="5"/>
      <c r="I317" s="5"/>
      <c r="J317" s="5"/>
    </row>
    <row r="318" spans="1:10" x14ac:dyDescent="0.25">
      <c r="A318" s="22">
        <v>27.8</v>
      </c>
      <c r="B318" s="22">
        <v>2426.7175999999999</v>
      </c>
      <c r="C318" s="22">
        <v>0.3797267163098012</v>
      </c>
      <c r="D318" s="22">
        <v>69.657447555878761</v>
      </c>
      <c r="E318" s="22">
        <v>3.9826422376663118E-2</v>
      </c>
      <c r="F318" s="22">
        <v>12552064578.437405</v>
      </c>
      <c r="G318" s="23">
        <v>7.9668168829998891E-11</v>
      </c>
      <c r="H318" s="5"/>
      <c r="I318" s="5"/>
      <c r="J318" s="5"/>
    </row>
    <row r="319" spans="1:10" x14ac:dyDescent="0.25">
      <c r="A319" s="22">
        <v>27.9</v>
      </c>
      <c r="B319" s="22">
        <v>2444.2073999999998</v>
      </c>
      <c r="C319" s="22">
        <v>0.38116272496879555</v>
      </c>
      <c r="D319" s="22">
        <v>69.617454707853256</v>
      </c>
      <c r="E319" s="22">
        <v>3.9992848025505623E-2</v>
      </c>
      <c r="F319" s="22">
        <v>12589919179.521454</v>
      </c>
      <c r="G319" s="23">
        <v>7.9428627439212064E-11</v>
      </c>
      <c r="H319" s="5"/>
      <c r="I319" s="5"/>
      <c r="J319" s="5"/>
    </row>
    <row r="320" spans="1:10" x14ac:dyDescent="0.25">
      <c r="A320" s="22">
        <v>28</v>
      </c>
      <c r="B320" s="22">
        <v>2461.7600000000002</v>
      </c>
      <c r="C320" s="22">
        <v>0.38259956052329741</v>
      </c>
      <c r="D320" s="22">
        <v>69.577295147195827</v>
      </c>
      <c r="E320" s="22">
        <v>4.0159560657428983E-2</v>
      </c>
      <c r="F320" s="22">
        <v>12627691929.348564</v>
      </c>
      <c r="G320" s="23">
        <v>7.9191035511078385E-11</v>
      </c>
      <c r="H320" s="5"/>
      <c r="I320" s="5"/>
      <c r="J320" s="5"/>
    </row>
    <row r="321" spans="1:10" x14ac:dyDescent="0.25">
      <c r="A321" s="22">
        <v>28.1</v>
      </c>
      <c r="B321" s="22">
        <v>2479.3754000000004</v>
      </c>
      <c r="C321" s="22">
        <v>0.38403722737489238</v>
      </c>
      <c r="D321" s="22">
        <v>69.536968585062723</v>
      </c>
      <c r="E321" s="22">
        <v>4.0326562133103039E-2</v>
      </c>
      <c r="F321" s="22">
        <v>12665382452.245724</v>
      </c>
      <c r="G321" s="23">
        <v>7.8955373339135769E-11</v>
      </c>
      <c r="H321" s="5"/>
      <c r="I321" s="5"/>
      <c r="J321" s="5"/>
    </row>
    <row r="322" spans="1:10" x14ac:dyDescent="0.25">
      <c r="A322" s="22">
        <v>28.2</v>
      </c>
      <c r="B322" s="22">
        <v>2497.0536000000002</v>
      </c>
      <c r="C322" s="22">
        <v>0.38547572994479246</v>
      </c>
      <c r="D322" s="22">
        <v>69.496474730737248</v>
      </c>
      <c r="E322" s="22">
        <v>4.0493854325475809E-2</v>
      </c>
      <c r="F322" s="22">
        <v>12702990371.464371</v>
      </c>
      <c r="G322" s="23">
        <v>7.8721621504679008E-11</v>
      </c>
      <c r="H322" s="5"/>
      <c r="I322" s="5"/>
      <c r="J322" s="5"/>
    </row>
    <row r="323" spans="1:10" x14ac:dyDescent="0.25">
      <c r="A323" s="22">
        <v>28.3</v>
      </c>
      <c r="B323" s="22">
        <v>2514.7946000000002</v>
      </c>
      <c r="C323" s="22">
        <v>0.38691507267399866</v>
      </c>
      <c r="D323" s="22">
        <v>69.455813291617275</v>
      </c>
      <c r="E323" s="22">
        <v>4.0661439119972442E-2</v>
      </c>
      <c r="F323" s="22">
        <v>12740515309.148043</v>
      </c>
      <c r="G323" s="23">
        <v>7.8489760871914833E-11</v>
      </c>
      <c r="H323" s="5"/>
      <c r="I323" s="5"/>
      <c r="J323" s="5"/>
    </row>
    <row r="324" spans="1:10" x14ac:dyDescent="0.25">
      <c r="A324" s="22">
        <v>28.4</v>
      </c>
      <c r="B324" s="22">
        <v>2532.5983999999999</v>
      </c>
      <c r="C324" s="22">
        <v>0.38835526002346427</v>
      </c>
      <c r="D324" s="22">
        <v>69.414983973202794</v>
      </c>
      <c r="E324" s="22">
        <v>4.0829318414481008E-2</v>
      </c>
      <c r="F324" s="22">
        <v>12777956886.367279</v>
      </c>
      <c r="G324" s="23">
        <v>7.8259772582805759E-11</v>
      </c>
      <c r="H324" s="5"/>
      <c r="I324" s="5"/>
      <c r="J324" s="5"/>
    </row>
    <row r="325" spans="1:10" x14ac:dyDescent="0.25">
      <c r="A325" s="22">
        <v>28.5</v>
      </c>
      <c r="B325" s="22">
        <v>2550.4650000000001</v>
      </c>
      <c r="C325" s="22">
        <v>0.38979629647426056</v>
      </c>
      <c r="D325" s="22">
        <v>69.373986479083072</v>
      </c>
      <c r="E325" s="22">
        <v>4.0997494119721978E-2</v>
      </c>
      <c r="F325" s="22">
        <v>12815314723.034662</v>
      </c>
      <c r="G325" s="23">
        <v>7.8031638052756329E-11</v>
      </c>
      <c r="H325" s="5"/>
      <c r="I325" s="5"/>
      <c r="J325" s="5"/>
    </row>
    <row r="326" spans="1:10" x14ac:dyDescent="0.25">
      <c r="A326" s="22">
        <v>28.6</v>
      </c>
      <c r="B326" s="22">
        <v>2568.3944000000001</v>
      </c>
      <c r="C326" s="22">
        <v>0.39123818652774317</v>
      </c>
      <c r="D326" s="22">
        <v>69.33282051092398</v>
      </c>
      <c r="E326" s="22">
        <v>4.1165968159091904E-2</v>
      </c>
      <c r="F326" s="22">
        <v>12852588437.984922</v>
      </c>
      <c r="G326" s="23">
        <v>7.7805338965384616E-11</v>
      </c>
      <c r="H326" s="5"/>
      <c r="I326" s="5"/>
      <c r="J326" s="5"/>
    </row>
    <row r="327" spans="1:10" x14ac:dyDescent="0.25">
      <c r="A327" s="22">
        <v>28.7</v>
      </c>
      <c r="B327" s="22">
        <v>2586.3865999999998</v>
      </c>
      <c r="C327" s="22">
        <v>0.39268093470572057</v>
      </c>
      <c r="D327" s="22">
        <v>69.29148576845499</v>
      </c>
      <c r="E327" s="22">
        <v>4.1334742468990271E-2</v>
      </c>
      <c r="F327" s="22">
        <v>12889777648.90415</v>
      </c>
      <c r="G327" s="23">
        <v>7.7580857268318898E-11</v>
      </c>
      <c r="H327" s="5"/>
      <c r="I327" s="5"/>
      <c r="J327" s="5"/>
    </row>
    <row r="328" spans="1:10" x14ac:dyDescent="0.25">
      <c r="A328" s="22">
        <v>28.8</v>
      </c>
      <c r="B328" s="22">
        <v>2604.4416000000001</v>
      </c>
      <c r="C328" s="22">
        <v>0.39412454555062437</v>
      </c>
      <c r="D328" s="22">
        <v>69.249981949456128</v>
      </c>
      <c r="E328" s="22">
        <v>4.150381899886213E-2</v>
      </c>
      <c r="F328" s="22">
        <v>12926881972.348354</v>
      </c>
      <c r="G328" s="23">
        <v>7.7358175168542643E-11</v>
      </c>
      <c r="H328" s="5"/>
      <c r="I328" s="5"/>
      <c r="J328" s="5"/>
    </row>
    <row r="329" spans="1:10" x14ac:dyDescent="0.25">
      <c r="A329" s="22">
        <v>28.9</v>
      </c>
      <c r="B329" s="22">
        <v>2622.5593999999996</v>
      </c>
      <c r="C329" s="22">
        <v>0.39556902362568019</v>
      </c>
      <c r="D329" s="22">
        <v>69.208308749744774</v>
      </c>
      <c r="E329" s="22">
        <v>4.1673199711354414E-2</v>
      </c>
      <c r="F329" s="22">
        <v>12963901023.726826</v>
      </c>
      <c r="G329" s="23">
        <v>7.7137275128048052E-11</v>
      </c>
      <c r="H329" s="5"/>
      <c r="I329" s="5"/>
      <c r="J329" s="5"/>
    </row>
    <row r="330" spans="1:10" x14ac:dyDescent="0.25">
      <c r="A330" s="22">
        <v>29</v>
      </c>
      <c r="B330" s="22">
        <v>2640.7400000000002</v>
      </c>
      <c r="C330" s="22">
        <v>0.39701437351508179</v>
      </c>
      <c r="D330" s="22">
        <v>69.16646586316233</v>
      </c>
      <c r="E330" s="22">
        <v>4.1842886582443839E-2</v>
      </c>
      <c r="F330" s="22">
        <v>13000834417.294832</v>
      </c>
      <c r="G330" s="23">
        <v>7.6918139859524224E-11</v>
      </c>
      <c r="H330" s="5"/>
      <c r="I330" s="5"/>
      <c r="J330" s="5"/>
    </row>
    <row r="331" spans="1:10" x14ac:dyDescent="0.25">
      <c r="A331" s="22">
        <v>29.1</v>
      </c>
      <c r="B331" s="22">
        <v>2658.9834000000005</v>
      </c>
      <c r="C331" s="22">
        <v>0.39846059982416476</v>
      </c>
      <c r="D331" s="22">
        <v>69.124452981560722</v>
      </c>
      <c r="E331" s="22">
        <v>4.2012881601607432E-2</v>
      </c>
      <c r="F331" s="22">
        <v>13037681766.133434</v>
      </c>
      <c r="G331" s="23">
        <v>7.6700752322210461E-11</v>
      </c>
      <c r="H331" s="5"/>
      <c r="I331" s="5"/>
      <c r="J331" s="5"/>
    </row>
    <row r="332" spans="1:10" x14ac:dyDescent="0.25">
      <c r="A332" s="22">
        <v>29.2</v>
      </c>
      <c r="B332" s="22">
        <v>2677.2896000000001</v>
      </c>
      <c r="C332" s="22">
        <v>0.39990770717958363</v>
      </c>
      <c r="D332" s="22">
        <v>69.082269794788886</v>
      </c>
      <c r="E332" s="22">
        <v>4.2183186771836745E-2</v>
      </c>
      <c r="F332" s="22">
        <v>13074442682.178268</v>
      </c>
      <c r="G332" s="23">
        <v>7.6485095717548012E-11</v>
      </c>
      <c r="H332" s="5"/>
      <c r="I332" s="5"/>
      <c r="J332" s="5"/>
    </row>
    <row r="333" spans="1:10" x14ac:dyDescent="0.25">
      <c r="A333" s="22">
        <v>29.3</v>
      </c>
      <c r="B333" s="22">
        <v>2695.6586000000002</v>
      </c>
      <c r="C333" s="22">
        <v>0.4013557002294903</v>
      </c>
      <c r="D333" s="22">
        <v>69.039915990678892</v>
      </c>
      <c r="E333" s="22">
        <v>4.2353804109993121E-2</v>
      </c>
      <c r="F333" s="22">
        <v>13111116776.142879</v>
      </c>
      <c r="G333" s="23">
        <v>7.6271153485537557E-11</v>
      </c>
      <c r="H333" s="5"/>
      <c r="I333" s="5"/>
      <c r="J333" s="5"/>
    </row>
    <row r="334" spans="1:10" x14ac:dyDescent="0.25">
      <c r="A334" s="22">
        <v>29.4</v>
      </c>
      <c r="B334" s="22">
        <v>2714.0904</v>
      </c>
      <c r="C334" s="22">
        <v>0.40280458364371297</v>
      </c>
      <c r="D334" s="22">
        <v>68.997391255032241</v>
      </c>
      <c r="E334" s="22">
        <v>4.2524735646651379E-2</v>
      </c>
      <c r="F334" s="22">
        <v>13147703657.601141</v>
      </c>
      <c r="G334" s="23">
        <v>7.6058909300246171E-11</v>
      </c>
      <c r="H334" s="5"/>
      <c r="I334" s="5"/>
      <c r="J334" s="5"/>
    </row>
    <row r="335" spans="1:10" x14ac:dyDescent="0.25">
      <c r="A335" s="22">
        <v>29.5</v>
      </c>
      <c r="B335" s="22">
        <v>2732.5850000000005</v>
      </c>
      <c r="C335" s="22">
        <v>0.40425436211393873</v>
      </c>
      <c r="D335" s="22">
        <v>68.954695271605686</v>
      </c>
      <c r="E335" s="22">
        <v>4.2695983426554562E-2</v>
      </c>
      <c r="F335" s="22">
        <v>13184202934.880741</v>
      </c>
      <c r="G335" s="23">
        <v>7.5848347066499826E-11</v>
      </c>
      <c r="H335" s="5"/>
      <c r="I335" s="5"/>
      <c r="J335" s="5"/>
    </row>
    <row r="336" spans="1:10" x14ac:dyDescent="0.25">
      <c r="A336" s="22">
        <v>29.6</v>
      </c>
      <c r="B336" s="22">
        <v>2751.1424000000002</v>
      </c>
      <c r="C336" s="22">
        <v>0.4057050403538961</v>
      </c>
      <c r="D336" s="22">
        <v>68.911827722097172</v>
      </c>
      <c r="E336" s="22">
        <v>4.2867549508514458E-2</v>
      </c>
      <c r="F336" s="22">
        <v>13220614215.128712</v>
      </c>
      <c r="G336" s="23">
        <v>7.5639450915652053E-11</v>
      </c>
      <c r="H336" s="5"/>
      <c r="I336" s="5"/>
      <c r="J336" s="5"/>
    </row>
    <row r="337" spans="1:10" x14ac:dyDescent="0.25">
      <c r="A337" s="22">
        <v>29.7</v>
      </c>
      <c r="B337" s="22">
        <v>2769.7626</v>
      </c>
      <c r="C337" s="22">
        <v>0.40715662309954043</v>
      </c>
      <c r="D337" s="22">
        <v>68.868788286131476</v>
      </c>
      <c r="E337" s="22">
        <v>4.3039435965695816E-2</v>
      </c>
      <c r="F337" s="22">
        <v>13256937104.258718</v>
      </c>
      <c r="G337" s="23">
        <v>7.5432205202116818E-11</v>
      </c>
      <c r="H337" s="5"/>
      <c r="I337" s="5"/>
      <c r="J337" s="5"/>
    </row>
    <row r="338" spans="1:10" x14ac:dyDescent="0.25">
      <c r="A338" s="22">
        <v>29.8</v>
      </c>
      <c r="B338" s="22">
        <v>2788.4456</v>
      </c>
      <c r="C338" s="22">
        <v>0.40860911510924081</v>
      </c>
      <c r="D338" s="22">
        <v>68.825576641245803</v>
      </c>
      <c r="E338" s="22">
        <v>4.3211644885673195E-2</v>
      </c>
      <c r="F338" s="22">
        <v>13293171206.968996</v>
      </c>
      <c r="G338" s="23">
        <v>7.5226594499568784E-11</v>
      </c>
      <c r="H338" s="5"/>
      <c r="I338" s="5"/>
      <c r="J338" s="5"/>
    </row>
    <row r="339" spans="1:10" x14ac:dyDescent="0.25">
      <c r="A339" s="22">
        <v>29.9</v>
      </c>
      <c r="B339" s="22">
        <v>2807.1913999999997</v>
      </c>
      <c r="C339" s="22">
        <v>0.41006252116396863</v>
      </c>
      <c r="D339" s="22">
        <v>68.782192462875159</v>
      </c>
      <c r="E339" s="22">
        <v>4.3384178370644122E-2</v>
      </c>
      <c r="F339" s="22">
        <v>13329316126.712538</v>
      </c>
      <c r="G339" s="23">
        <v>7.502260359749109E-11</v>
      </c>
      <c r="H339" s="5"/>
      <c r="I339" s="5"/>
      <c r="J339" s="5"/>
    </row>
    <row r="340" spans="1:10" x14ac:dyDescent="0.25">
      <c r="A340" s="22">
        <v>30</v>
      </c>
      <c r="B340" s="22">
        <v>2826</v>
      </c>
      <c r="C340" s="22">
        <v>0.41151684606748801</v>
      </c>
      <c r="D340" s="22">
        <v>68.738635424337602</v>
      </c>
      <c r="E340" s="22">
        <v>4.3557038537556991E-2</v>
      </c>
      <c r="F340" s="22">
        <v>13365371465.694042</v>
      </c>
      <c r="G340" s="23">
        <v>7.482021749764152E-11</v>
      </c>
      <c r="H340" s="5"/>
      <c r="I340" s="5"/>
      <c r="J340" s="5"/>
    </row>
    <row r="341" spans="1:10" x14ac:dyDescent="0.25">
      <c r="A341" s="22">
        <v>30.1</v>
      </c>
      <c r="B341" s="22">
        <v>2844.8714000000004</v>
      </c>
      <c r="C341" s="22">
        <v>0.41297209464654855</v>
      </c>
      <c r="D341" s="22">
        <v>68.694905196819363</v>
      </c>
      <c r="E341" s="22">
        <v>4.3730227518238962E-2</v>
      </c>
      <c r="F341" s="22">
        <v>13401336824.867275</v>
      </c>
      <c r="G341" s="23">
        <v>7.4619421410587814E-11</v>
      </c>
      <c r="H341" s="5"/>
      <c r="I341" s="5"/>
      <c r="J341" s="5"/>
    </row>
    <row r="342" spans="1:10" x14ac:dyDescent="0.25">
      <c r="A342" s="22">
        <v>30.2</v>
      </c>
      <c r="B342" s="22">
        <v>2863.8056000000001</v>
      </c>
      <c r="C342" s="22">
        <v>0.41442827175107894</v>
      </c>
      <c r="D342" s="22">
        <v>68.651001449359782</v>
      </c>
      <c r="E342" s="22">
        <v>4.39037474595807E-2</v>
      </c>
      <c r="F342" s="22">
        <v>13437211803.915434</v>
      </c>
      <c r="G342" s="23">
        <v>7.4420200752407026E-11</v>
      </c>
      <c r="H342" s="5"/>
      <c r="I342" s="5"/>
      <c r="J342" s="5"/>
    </row>
    <row r="343" spans="1:10" x14ac:dyDescent="0.25">
      <c r="A343" s="22">
        <v>30.3</v>
      </c>
      <c r="B343" s="22">
        <v>2882.8026000000004</v>
      </c>
      <c r="C343" s="22">
        <v>0.41588538225438371</v>
      </c>
      <c r="D343" s="22">
        <v>68.606923848836132</v>
      </c>
      <c r="E343" s="22">
        <v>4.4077600523650062E-2</v>
      </c>
      <c r="F343" s="22">
        <v>13472996001.253811</v>
      </c>
      <c r="G343" s="23">
        <v>7.4222541141327365E-11</v>
      </c>
      <c r="H343" s="5"/>
      <c r="I343" s="5"/>
      <c r="J343" s="5"/>
    </row>
    <row r="344" spans="1:10" x14ac:dyDescent="0.25">
      <c r="A344" s="22">
        <v>30.4</v>
      </c>
      <c r="B344" s="22">
        <v>2901.8624</v>
      </c>
      <c r="C344" s="22">
        <v>0.41734343105334065</v>
      </c>
      <c r="D344" s="22">
        <v>68.562672059948184</v>
      </c>
      <c r="E344" s="22">
        <v>4.4251788887947896E-2</v>
      </c>
      <c r="F344" s="22">
        <v>13508689013.989401</v>
      </c>
      <c r="G344" s="23">
        <v>7.4026428394673572E-11</v>
      </c>
      <c r="H344" s="5"/>
      <c r="I344" s="5"/>
      <c r="J344" s="5"/>
    </row>
    <row r="345" spans="1:10" x14ac:dyDescent="0.25">
      <c r="A345" s="22">
        <v>30.5</v>
      </c>
      <c r="B345" s="22">
        <v>2920.9850000000001</v>
      </c>
      <c r="C345" s="22">
        <v>0.41880242306860171</v>
      </c>
      <c r="D345" s="22">
        <v>68.51824574520279</v>
      </c>
      <c r="E345" s="22">
        <v>4.4426314745393825E-2</v>
      </c>
      <c r="F345" s="22">
        <v>13544290437.963625</v>
      </c>
      <c r="G345" s="23">
        <v>7.3831848525418158E-11</v>
      </c>
      <c r="H345" s="5"/>
      <c r="I345" s="5"/>
      <c r="J345" s="5"/>
    </row>
    <row r="346" spans="1:10" x14ac:dyDescent="0.25">
      <c r="A346" s="22">
        <v>30.6</v>
      </c>
      <c r="B346" s="22">
        <v>2940.1704000000004</v>
      </c>
      <c r="C346" s="22">
        <v>0.4202623632447941</v>
      </c>
      <c r="D346" s="22">
        <v>68.473644564898109</v>
      </c>
      <c r="E346" s="22">
        <v>4.460118030468152E-2</v>
      </c>
      <c r="F346" s="22">
        <v>13579799867.68256</v>
      </c>
      <c r="G346" s="23">
        <v>7.3638787739414121E-11</v>
      </c>
      <c r="H346" s="5"/>
      <c r="I346" s="5"/>
      <c r="J346" s="5"/>
    </row>
    <row r="347" spans="1:10" x14ac:dyDescent="0.25">
      <c r="A347" s="22">
        <v>30.7</v>
      </c>
      <c r="B347" s="22">
        <v>2959.4186</v>
      </c>
      <c r="C347" s="22">
        <v>0.4217232565507244</v>
      </c>
      <c r="D347" s="22">
        <v>68.42886817710783</v>
      </c>
      <c r="E347" s="22">
        <v>4.4776387790278704E-2</v>
      </c>
      <c r="F347" s="22">
        <v>13615216896.356199</v>
      </c>
      <c r="G347" s="23">
        <v>7.3447232432090531E-11</v>
      </c>
      <c r="H347" s="5"/>
      <c r="I347" s="5"/>
      <c r="J347" s="5"/>
    </row>
    <row r="348" spans="1:10" x14ac:dyDescent="0.25">
      <c r="A348" s="22">
        <v>30.8</v>
      </c>
      <c r="B348" s="22">
        <v>2978.7296000000001</v>
      </c>
      <c r="C348" s="22">
        <v>0.42318510797958531</v>
      </c>
      <c r="D348" s="22">
        <v>68.383916237665119</v>
      </c>
      <c r="E348" s="22">
        <v>4.4951939442711364E-2</v>
      </c>
      <c r="F348" s="22">
        <v>13650541115.85154</v>
      </c>
      <c r="G348" s="23">
        <v>7.3257169185678733E-11</v>
      </c>
      <c r="H348" s="5"/>
      <c r="I348" s="5"/>
      <c r="J348" s="5"/>
    </row>
    <row r="349" spans="1:10" x14ac:dyDescent="0.25">
      <c r="A349" s="22">
        <v>30.9</v>
      </c>
      <c r="B349" s="22">
        <v>2998.1034</v>
      </c>
      <c r="C349" s="22">
        <v>0.42464792254916267</v>
      </c>
      <c r="D349" s="22">
        <v>68.338788400146512</v>
      </c>
      <c r="E349" s="22">
        <v>4.5127837518606384E-2</v>
      </c>
      <c r="F349" s="22">
        <v>13685772116.71969</v>
      </c>
      <c r="G349" s="23">
        <v>7.3068584766095582E-11</v>
      </c>
      <c r="H349" s="5"/>
      <c r="I349" s="5"/>
      <c r="J349" s="5"/>
    </row>
    <row r="350" spans="1:10" x14ac:dyDescent="0.25">
      <c r="A350" s="22">
        <v>31</v>
      </c>
      <c r="B350" s="22">
        <v>3017.54</v>
      </c>
      <c r="C350" s="22">
        <v>0.42611170530204651</v>
      </c>
      <c r="D350" s="22">
        <v>68.293484315855494</v>
      </c>
      <c r="E350" s="22">
        <v>4.5304084291018398E-2</v>
      </c>
      <c r="F350" s="22">
        <v>13720909488.137159</v>
      </c>
      <c r="G350" s="23">
        <v>7.2881466120345827E-11</v>
      </c>
      <c r="H350" s="5"/>
      <c r="I350" s="5"/>
      <c r="J350" s="5"/>
    </row>
    <row r="351" spans="1:10" x14ac:dyDescent="0.25">
      <c r="A351" s="22">
        <v>31.1</v>
      </c>
      <c r="B351" s="22">
        <v>3037.0394000000006</v>
      </c>
      <c r="C351" s="22">
        <v>0.42757646130584248</v>
      </c>
      <c r="D351" s="22">
        <v>68.248003633806022</v>
      </c>
      <c r="E351" s="22">
        <v>4.5480682049472421E-2</v>
      </c>
      <c r="F351" s="22">
        <v>13755952817.933992</v>
      </c>
      <c r="G351" s="23">
        <v>7.2695800373513493E-11</v>
      </c>
      <c r="H351" s="5"/>
      <c r="I351" s="5"/>
      <c r="J351" s="5"/>
    </row>
    <row r="352" spans="1:10" x14ac:dyDescent="0.25">
      <c r="A352" s="22">
        <v>31.2</v>
      </c>
      <c r="B352" s="22">
        <v>3056.6016</v>
      </c>
      <c r="C352" s="22">
        <v>0.42904219565338658</v>
      </c>
      <c r="D352" s="22">
        <v>68.202346000705873</v>
      </c>
      <c r="E352" s="22">
        <v>4.5657633100148587E-2</v>
      </c>
      <c r="F352" s="22">
        <v>13790901692.579216</v>
      </c>
      <c r="G352" s="23">
        <v>7.2511574826038581E-11</v>
      </c>
      <c r="H352" s="5"/>
      <c r="I352" s="5"/>
      <c r="J352" s="5"/>
    </row>
    <row r="353" spans="1:10" x14ac:dyDescent="0.25">
      <c r="A353" s="22">
        <v>31.3</v>
      </c>
      <c r="B353" s="22">
        <v>3076.2266000000004</v>
      </c>
      <c r="C353" s="22">
        <v>0.43050891346296194</v>
      </c>
      <c r="D353" s="22">
        <v>68.156511060939735</v>
      </c>
      <c r="E353" s="22">
        <v>4.583493976613795E-2</v>
      </c>
      <c r="F353" s="22">
        <v>13825755697.145447</v>
      </c>
      <c r="G353" s="23">
        <v>7.2328776951155472E-11</v>
      </c>
      <c r="H353" s="5"/>
      <c r="I353" s="5"/>
      <c r="J353" s="5"/>
    </row>
    <row r="354" spans="1:10" x14ac:dyDescent="0.25">
      <c r="A354" s="22">
        <v>31.4</v>
      </c>
      <c r="B354" s="22">
        <v>3095.9144000000001</v>
      </c>
      <c r="C354" s="22">
        <v>0.43197661987851665</v>
      </c>
      <c r="D354" s="22">
        <v>68.110498456552207</v>
      </c>
      <c r="E354" s="22">
        <v>4.6012604387527745E-2</v>
      </c>
      <c r="F354" s="22">
        <v>13860514415.32555</v>
      </c>
      <c r="G354" s="23">
        <v>7.214739439210867E-11</v>
      </c>
      <c r="H354" s="5"/>
      <c r="I354" s="5"/>
      <c r="J354" s="5"/>
    </row>
    <row r="355" spans="1:10" x14ac:dyDescent="0.25">
      <c r="A355" s="22">
        <v>31.5</v>
      </c>
      <c r="B355" s="22">
        <v>3115.6650000000004</v>
      </c>
      <c r="C355" s="22">
        <v>0.4334453200698859</v>
      </c>
      <c r="D355" s="22">
        <v>68.064307827230579</v>
      </c>
      <c r="E355" s="22">
        <v>4.6190629321628762E-2</v>
      </c>
      <c r="F355" s="22">
        <v>13895177429.406979</v>
      </c>
      <c r="G355" s="23">
        <v>7.1967414959643175E-11</v>
      </c>
      <c r="H355" s="5"/>
      <c r="I355" s="5"/>
      <c r="J355" s="5"/>
    </row>
    <row r="356" spans="1:10" x14ac:dyDescent="0.25">
      <c r="A356" s="22">
        <v>31.6</v>
      </c>
      <c r="B356" s="22">
        <v>3135.4784000000004</v>
      </c>
      <c r="C356" s="22">
        <v>0.43491501923301401</v>
      </c>
      <c r="D356" s="22">
        <v>68.01793881028739</v>
      </c>
      <c r="E356" s="22">
        <v>4.6369016943188512E-2</v>
      </c>
      <c r="F356" s="22">
        <v>13929744320.250946</v>
      </c>
      <c r="G356" s="23">
        <v>7.1788826629517403E-11</v>
      </c>
      <c r="H356" s="5"/>
      <c r="I356" s="5"/>
      <c r="J356" s="5"/>
    </row>
    <row r="357" spans="1:10" x14ac:dyDescent="0.25">
      <c r="A357" s="22">
        <v>31.7</v>
      </c>
      <c r="B357" s="22">
        <v>3155.3545999999997</v>
      </c>
      <c r="C357" s="22">
        <v>0.43638572259017994</v>
      </c>
      <c r="D357" s="22">
        <v>67.971391040642985</v>
      </c>
      <c r="E357" s="22">
        <v>4.6547769644405435E-2</v>
      </c>
      <c r="F357" s="22">
        <v>13964214667.33205</v>
      </c>
      <c r="G357" s="23">
        <v>7.1611617539753582E-11</v>
      </c>
      <c r="H357" s="5"/>
      <c r="I357" s="5"/>
      <c r="J357" s="5"/>
    </row>
    <row r="358" spans="1:10" x14ac:dyDescent="0.25">
      <c r="A358" s="22">
        <v>31.8</v>
      </c>
      <c r="B358" s="22">
        <v>3175.2936</v>
      </c>
      <c r="C358" s="22">
        <v>0.43785743539022604</v>
      </c>
      <c r="D358" s="22">
        <v>67.924664150807544</v>
      </c>
      <c r="E358" s="22">
        <v>4.6726889835440488E-2</v>
      </c>
      <c r="F358" s="22">
        <v>13998588048.628977</v>
      </c>
      <c r="G358" s="23">
        <v>7.1435775988703381E-11</v>
      </c>
      <c r="H358" s="5"/>
      <c r="I358" s="5"/>
      <c r="J358" s="5"/>
    </row>
    <row r="359" spans="1:10" x14ac:dyDescent="0.25">
      <c r="A359" s="22">
        <v>31.9</v>
      </c>
      <c r="B359" s="22">
        <v>3195.2954</v>
      </c>
      <c r="C359" s="22">
        <v>0.43933016290878679</v>
      </c>
      <c r="D359" s="22">
        <v>67.877757770863354</v>
      </c>
      <c r="E359" s="22">
        <v>4.690637994418978E-2</v>
      </c>
      <c r="F359" s="22">
        <v>14032864040.737682</v>
      </c>
      <c r="G359" s="23">
        <v>7.1261290432015886E-11</v>
      </c>
      <c r="H359" s="5"/>
      <c r="I359" s="5"/>
      <c r="J359" s="5"/>
    </row>
    <row r="360" spans="1:10" x14ac:dyDescent="0.25">
      <c r="A360" s="22">
        <v>32</v>
      </c>
      <c r="B360" s="22">
        <v>3215.36</v>
      </c>
      <c r="C360" s="22">
        <v>0.44080391044852163</v>
      </c>
      <c r="D360" s="22">
        <v>67.830671528446487</v>
      </c>
      <c r="E360" s="22">
        <v>4.7086242416867208E-2</v>
      </c>
      <c r="F360" s="22">
        <v>14067042218.742184</v>
      </c>
      <c r="G360" s="23">
        <v>7.1088149480894627E-11</v>
      </c>
      <c r="H360" s="5"/>
      <c r="I360" s="5"/>
      <c r="J360" s="5"/>
    </row>
    <row r="361" spans="1:10" x14ac:dyDescent="0.25">
      <c r="A361" s="22">
        <v>32.1</v>
      </c>
      <c r="B361" s="22">
        <v>3235.4874000000004</v>
      </c>
      <c r="C361" s="22">
        <v>0.44227868333934994</v>
      </c>
      <c r="D361" s="22">
        <v>67.783405048728554</v>
      </c>
      <c r="E361" s="22">
        <v>4.7266479717933407E-2</v>
      </c>
      <c r="F361" s="22">
        <v>14101122156.281906</v>
      </c>
      <c r="G361" s="23">
        <v>7.0916341899393454E-11</v>
      </c>
      <c r="H361" s="5"/>
      <c r="I361" s="5"/>
      <c r="J361" s="5"/>
    </row>
    <row r="362" spans="1:10" x14ac:dyDescent="0.25">
      <c r="A362" s="22">
        <v>32.200000000000003</v>
      </c>
      <c r="B362" s="22">
        <v>3255.6776000000009</v>
      </c>
      <c r="C362" s="22">
        <v>0.44375448693868835</v>
      </c>
      <c r="D362" s="22">
        <v>67.735957954398188</v>
      </c>
      <c r="E362" s="22">
        <v>4.7447094330365758E-2</v>
      </c>
      <c r="F362" s="22">
        <v>14135103425.517399</v>
      </c>
      <c r="G362" s="23">
        <v>7.0745856602276408E-11</v>
      </c>
      <c r="H362" s="5"/>
      <c r="I362" s="5"/>
      <c r="J362" s="5"/>
    </row>
    <row r="363" spans="1:10" x14ac:dyDescent="0.25">
      <c r="A363" s="22">
        <v>32.299999999999997</v>
      </c>
      <c r="B363" s="22">
        <v>3275.9305999999997</v>
      </c>
      <c r="C363" s="22">
        <v>0.44523132663168968</v>
      </c>
      <c r="D363" s="22">
        <v>67.688329865642274</v>
      </c>
      <c r="E363" s="22">
        <v>4.7628088755914177E-2</v>
      </c>
      <c r="F363" s="22">
        <v>14168985597.10108</v>
      </c>
      <c r="G363" s="23">
        <v>7.0576682652891978E-11</v>
      </c>
      <c r="H363" s="5"/>
      <c r="I363" s="5"/>
      <c r="J363" s="5"/>
    </row>
    <row r="364" spans="1:10" x14ac:dyDescent="0.25">
      <c r="A364" s="22">
        <v>32.4</v>
      </c>
      <c r="B364" s="22">
        <v>3296.2464</v>
      </c>
      <c r="C364" s="22">
        <v>0.44670920783148566</v>
      </c>
      <c r="D364" s="22">
        <v>67.640520400127031</v>
      </c>
      <c r="E364" s="22">
        <v>4.7809465515243232E-2</v>
      </c>
      <c r="F364" s="22">
        <v>14202768240.182562</v>
      </c>
      <c r="G364" s="23">
        <v>7.0408809260915328E-11</v>
      </c>
      <c r="H364" s="5"/>
      <c r="I364" s="5"/>
      <c r="J364" s="5"/>
    </row>
    <row r="365" spans="1:10" x14ac:dyDescent="0.25">
      <c r="A365" s="22">
        <v>32.5</v>
      </c>
      <c r="B365" s="22">
        <v>3316.625</v>
      </c>
      <c r="C365" s="22">
        <v>0.4481881359794313</v>
      </c>
      <c r="D365" s="22">
        <v>67.592529172978871</v>
      </c>
      <c r="E365" s="22">
        <v>4.799122714815951E-2</v>
      </c>
      <c r="F365" s="22">
        <v>14236450922.389093</v>
      </c>
      <c r="G365" s="23">
        <v>7.0242225780256808E-11</v>
      </c>
      <c r="H365" s="5"/>
      <c r="I365" s="5"/>
      <c r="J365" s="5"/>
    </row>
    <row r="366" spans="1:10" x14ac:dyDescent="0.25">
      <c r="A366" s="22">
        <v>32.6</v>
      </c>
      <c r="B366" s="22">
        <v>3337.0664000000002</v>
      </c>
      <c r="C366" s="22">
        <v>0.4496681165453521</v>
      </c>
      <c r="D366" s="22">
        <v>67.544355796765132</v>
      </c>
      <c r="E366" s="22">
        <v>4.8173376213739516E-2</v>
      </c>
      <c r="F366" s="22">
        <v>14270033209.836279</v>
      </c>
      <c r="G366" s="23">
        <v>7.0076921706860774E-11</v>
      </c>
      <c r="H366" s="5"/>
      <c r="I366" s="5"/>
      <c r="J366" s="5"/>
    </row>
    <row r="367" spans="1:10" x14ac:dyDescent="0.25">
      <c r="A367" s="22">
        <v>32.700000000000003</v>
      </c>
      <c r="B367" s="22">
        <v>3357.5706000000005</v>
      </c>
      <c r="C367" s="22">
        <v>0.45114915502779379</v>
      </c>
      <c r="D367" s="22">
        <v>67.495999881474447</v>
      </c>
      <c r="E367" s="22">
        <v>4.8355915290684948E-2</v>
      </c>
      <c r="F367" s="22">
        <v>14303514667.071934</v>
      </c>
      <c r="G367" s="23">
        <v>6.9912886676873629E-11</v>
      </c>
      <c r="H367" s="5"/>
      <c r="I367" s="5"/>
      <c r="J367" s="5"/>
    </row>
    <row r="368" spans="1:10" x14ac:dyDescent="0.25">
      <c r="A368" s="22">
        <v>32.799999999999997</v>
      </c>
      <c r="B368" s="22">
        <v>3378.1375999999996</v>
      </c>
      <c r="C368" s="22">
        <v>0.45263125695427459</v>
      </c>
      <c r="D368" s="22">
        <v>67.447461034497067</v>
      </c>
      <c r="E368" s="22">
        <v>4.8538846977379535E-2</v>
      </c>
      <c r="F368" s="22">
        <v>14336894857.109135</v>
      </c>
      <c r="G368" s="23">
        <v>6.9750110464410438E-11</v>
      </c>
      <c r="H368" s="5"/>
      <c r="I368" s="5"/>
      <c r="J368" s="5"/>
    </row>
    <row r="369" spans="1:10" x14ac:dyDescent="0.25">
      <c r="A369" s="22">
        <v>32.9</v>
      </c>
      <c r="B369" s="22">
        <v>3398.7673999999997</v>
      </c>
      <c r="C369" s="22">
        <v>0.45411442788154072</v>
      </c>
      <c r="D369" s="22">
        <v>67.398738860604809</v>
      </c>
      <c r="E369" s="22">
        <v>4.8722173892258525E-2</v>
      </c>
      <c r="F369" s="22">
        <v>14370173341.367395</v>
      </c>
      <c r="G369" s="23">
        <v>6.9588582979810103E-11</v>
      </c>
      <c r="H369" s="5"/>
      <c r="I369" s="5"/>
      <c r="J369" s="5"/>
    </row>
    <row r="370" spans="1:10" x14ac:dyDescent="0.25">
      <c r="A370" s="22">
        <v>33</v>
      </c>
      <c r="B370" s="22">
        <v>3419.46</v>
      </c>
      <c r="C370" s="22">
        <v>0.45559867339582338</v>
      </c>
      <c r="D370" s="22">
        <v>67.349832961930943</v>
      </c>
      <c r="E370" s="22">
        <v>4.8905898673865522E-2</v>
      </c>
      <c r="F370" s="22">
        <v>14403349679.706919</v>
      </c>
      <c r="G370" s="23">
        <v>6.9428294267472661E-11</v>
      </c>
      <c r="H370" s="5"/>
      <c r="I370" s="5"/>
      <c r="J370" s="5"/>
    </row>
    <row r="371" spans="1:10" x14ac:dyDescent="0.25">
      <c r="A371" s="22">
        <v>33.1</v>
      </c>
      <c r="B371" s="22">
        <v>3440.2154000000005</v>
      </c>
      <c r="C371" s="22">
        <v>0.45708399911309944</v>
      </c>
      <c r="D371" s="22">
        <v>67.300742937949806</v>
      </c>
      <c r="E371" s="22">
        <v>4.909002398113671E-2</v>
      </c>
      <c r="F371" s="22">
        <v>14436423430.396338</v>
      </c>
      <c r="G371" s="23">
        <v>6.9269234504057907E-11</v>
      </c>
      <c r="H371" s="5"/>
      <c r="I371" s="5"/>
      <c r="J371" s="5"/>
    </row>
    <row r="372" spans="1:10" x14ac:dyDescent="0.25">
      <c r="A372" s="22">
        <v>33.200000000000003</v>
      </c>
      <c r="B372" s="22">
        <v>3461.0336000000011</v>
      </c>
      <c r="C372" s="22">
        <v>0.45857041067935483</v>
      </c>
      <c r="D372" s="22">
        <v>67.251468385456093</v>
      </c>
      <c r="E372" s="22">
        <v>4.9274552493713486E-2</v>
      </c>
      <c r="F372" s="22">
        <v>14469394150.072947</v>
      </c>
      <c r="G372" s="23">
        <v>6.9111393996752694E-11</v>
      </c>
      <c r="H372" s="5"/>
      <c r="I372" s="5"/>
      <c r="J372" s="5"/>
    </row>
    <row r="373" spans="1:10" x14ac:dyDescent="0.25">
      <c r="A373" s="22">
        <v>33.299999999999997</v>
      </c>
      <c r="B373" s="22">
        <v>3481.9145999999996</v>
      </c>
      <c r="C373" s="22">
        <v>0.46005791377084998</v>
      </c>
      <c r="D373" s="22">
        <v>67.202008898544094</v>
      </c>
      <c r="E373" s="22">
        <v>4.9459486911999306E-2</v>
      </c>
      <c r="F373" s="22">
        <v>14502261393.778891</v>
      </c>
      <c r="G373" s="23">
        <v>6.8954763181208074E-11</v>
      </c>
      <c r="H373" s="5"/>
      <c r="I373" s="5"/>
      <c r="J373" s="5"/>
    </row>
    <row r="374" spans="1:10" x14ac:dyDescent="0.25">
      <c r="A374" s="22">
        <v>33.4</v>
      </c>
      <c r="B374" s="22">
        <v>3502.8584000000001</v>
      </c>
      <c r="C374" s="22">
        <v>0.46154651409438952</v>
      </c>
      <c r="D374" s="22">
        <v>67.152364068586593</v>
      </c>
      <c r="E374" s="22">
        <v>4.9644829957500747E-2</v>
      </c>
      <c r="F374" s="22">
        <v>14535024714.914476</v>
      </c>
      <c r="G374" s="23">
        <v>6.8799332619909068E-11</v>
      </c>
      <c r="H374" s="5"/>
      <c r="I374" s="5"/>
      <c r="J374" s="5"/>
    </row>
    <row r="375" spans="1:10" x14ac:dyDescent="0.25">
      <c r="A375" s="22">
        <v>33.5</v>
      </c>
      <c r="B375" s="22">
        <v>3523.8649999999998</v>
      </c>
      <c r="C375" s="22">
        <v>0.46303621738759271</v>
      </c>
      <c r="D375" s="22">
        <v>67.102533484213552</v>
      </c>
      <c r="E375" s="22">
        <v>4.9830584373040665E-2</v>
      </c>
      <c r="F375" s="22">
        <v>14567683665.229803</v>
      </c>
      <c r="G375" s="23">
        <v>6.8645093000392608E-11</v>
      </c>
      <c r="H375" s="5"/>
      <c r="I375" s="5"/>
      <c r="J375" s="5"/>
    </row>
    <row r="376" spans="1:10" x14ac:dyDescent="0.25">
      <c r="A376" s="22">
        <v>33.6</v>
      </c>
      <c r="B376" s="22">
        <v>3544.9344000000001</v>
      </c>
      <c r="C376" s="22">
        <v>0.46452702941916901</v>
      </c>
      <c r="D376" s="22">
        <v>67.052516731290552</v>
      </c>
      <c r="E376" s="22">
        <v>5.0016752922999785E-2</v>
      </c>
      <c r="F376" s="22">
        <v>14600237794.808899</v>
      </c>
      <c r="G376" s="23">
        <v>6.8492035133533853E-11</v>
      </c>
      <c r="H376" s="5"/>
      <c r="I376" s="5"/>
      <c r="J376" s="5"/>
    </row>
    <row r="377" spans="1:10" x14ac:dyDescent="0.25">
      <c r="A377" s="22">
        <v>33.700000000000003</v>
      </c>
      <c r="B377" s="22">
        <v>3566.0666000000006</v>
      </c>
      <c r="C377" s="22">
        <v>0.46601895598919496</v>
      </c>
      <c r="D377" s="22">
        <v>67.002313392897108</v>
      </c>
      <c r="E377" s="22">
        <v>5.0203338393444596E-2</v>
      </c>
      <c r="F377" s="22">
        <v>14632686652.087729</v>
      </c>
      <c r="G377" s="23">
        <v>6.8340149951705851E-11</v>
      </c>
      <c r="H377" s="5"/>
      <c r="I377" s="5"/>
      <c r="J377" s="5"/>
    </row>
    <row r="378" spans="1:10" x14ac:dyDescent="0.25">
      <c r="A378" s="22">
        <v>33.799999999999997</v>
      </c>
      <c r="B378" s="22">
        <v>3587.2615999999994</v>
      </c>
      <c r="C378" s="22">
        <v>0.46751200292939482</v>
      </c>
      <c r="D378" s="22">
        <v>66.951923049304568</v>
      </c>
      <c r="E378" s="22">
        <v>5.0390343592539466E-2</v>
      </c>
      <c r="F378" s="22">
        <v>14665029783.789942</v>
      </c>
      <c r="G378" s="23">
        <v>6.8189428507356636E-11</v>
      </c>
      <c r="H378" s="5"/>
      <c r="I378" s="5"/>
      <c r="J378" s="5"/>
    </row>
    <row r="379" spans="1:10" x14ac:dyDescent="0.25">
      <c r="A379" s="22">
        <v>33.9</v>
      </c>
      <c r="B379" s="22">
        <v>3608.5193999999997</v>
      </c>
      <c r="C379" s="22">
        <v>0.46900617610342432</v>
      </c>
      <c r="D379" s="22">
        <v>66.901345277953865</v>
      </c>
      <c r="E379" s="22">
        <v>5.057777135070296E-2</v>
      </c>
      <c r="F379" s="22">
        <v>14697266734.938261</v>
      </c>
      <c r="G379" s="23">
        <v>6.8039861971260646E-11</v>
      </c>
      <c r="H379" s="5"/>
      <c r="I379" s="5"/>
      <c r="J379" s="5"/>
    </row>
    <row r="380" spans="1:10" x14ac:dyDescent="0.25">
      <c r="A380" s="22">
        <v>34</v>
      </c>
      <c r="B380" s="22">
        <v>3629.84</v>
      </c>
      <c r="C380" s="22">
        <v>0.47050148140715709</v>
      </c>
      <c r="D380" s="22">
        <v>66.850579653433073</v>
      </c>
      <c r="E380" s="22">
        <v>5.0765624520792585E-2</v>
      </c>
      <c r="F380" s="22">
        <v>14729397048.858086</v>
      </c>
      <c r="G380" s="23">
        <v>6.7891441630838937E-11</v>
      </c>
      <c r="H380" s="5"/>
      <c r="I380" s="5"/>
      <c r="J380" s="5"/>
    </row>
    <row r="381" spans="1:10" x14ac:dyDescent="0.25">
      <c r="A381" s="22">
        <v>34.1</v>
      </c>
      <c r="B381" s="22">
        <v>3651.2234000000008</v>
      </c>
      <c r="C381" s="22">
        <v>0.47199792476897401</v>
      </c>
      <c r="D381" s="22">
        <v>66.799625747454613</v>
      </c>
      <c r="E381" s="22">
        <v>5.0953905978460057E-2</v>
      </c>
      <c r="F381" s="22">
        <v>14761420267.132423</v>
      </c>
      <c r="G381" s="23">
        <v>6.7744158888734198E-11</v>
      </c>
      <c r="H381" s="5"/>
      <c r="I381" s="5"/>
      <c r="J381" s="5"/>
    </row>
    <row r="382" spans="1:10" x14ac:dyDescent="0.25">
      <c r="A382" s="22">
        <v>34.200000000000003</v>
      </c>
      <c r="B382" s="22">
        <v>3672.6696000000011</v>
      </c>
      <c r="C382" s="22">
        <v>0.47349551215005636</v>
      </c>
      <c r="D382" s="22">
        <v>66.74848312883222</v>
      </c>
      <c r="E382" s="22">
        <v>5.1142618622392888E-2</v>
      </c>
      <c r="F382" s="22">
        <v>14793335929.590721</v>
      </c>
      <c r="G382" s="23">
        <v>6.7598005261255933E-11</v>
      </c>
      <c r="H382" s="5"/>
      <c r="I382" s="5"/>
      <c r="J382" s="5"/>
    </row>
    <row r="383" spans="1:10" x14ac:dyDescent="0.25">
      <c r="A383" s="22">
        <v>34.299999999999997</v>
      </c>
      <c r="B383" s="22">
        <v>3694.1785999999997</v>
      </c>
      <c r="C383" s="22">
        <v>0.47499424954468167</v>
      </c>
      <c r="D383" s="22">
        <v>66.697151363457792</v>
      </c>
      <c r="E383" s="22">
        <v>5.1331765374428073E-2</v>
      </c>
      <c r="F383" s="22">
        <v>14825143574.335501</v>
      </c>
      <c r="G383" s="23">
        <v>6.7452972376682186E-11</v>
      </c>
      <c r="H383" s="5"/>
      <c r="I383" s="5"/>
      <c r="J383" s="5"/>
    </row>
    <row r="384" spans="1:10" x14ac:dyDescent="0.25">
      <c r="A384" s="22">
        <v>34.4</v>
      </c>
      <c r="B384" s="22">
        <v>3715.7503999999999</v>
      </c>
      <c r="C384" s="22">
        <v>0.47649414298052328</v>
      </c>
      <c r="D384" s="22">
        <v>66.645630014277756</v>
      </c>
      <c r="E384" s="22">
        <v>5.1521349180035259E-2</v>
      </c>
      <c r="F384" s="22">
        <v>14856842737.662876</v>
      </c>
      <c r="G384" s="23">
        <v>6.7309051974074383E-11</v>
      </c>
      <c r="H384" s="5"/>
      <c r="I384" s="5"/>
      <c r="J384" s="5"/>
    </row>
    <row r="385" spans="1:10" x14ac:dyDescent="0.25">
      <c r="A385" s="22">
        <v>34.5</v>
      </c>
      <c r="B385" s="22">
        <v>3737.3849999999998</v>
      </c>
      <c r="C385" s="22">
        <v>0.47799519851895239</v>
      </c>
      <c r="D385" s="22">
        <v>66.59391864126934</v>
      </c>
      <c r="E385" s="22">
        <v>5.1711373008416217E-2</v>
      </c>
      <c r="F385" s="22">
        <v>14888432954.094948</v>
      </c>
      <c r="G385" s="23">
        <v>6.7166235901606941E-11</v>
      </c>
      <c r="H385" s="5"/>
      <c r="I385" s="5"/>
      <c r="J385" s="5"/>
    </row>
    <row r="386" spans="1:10" x14ac:dyDescent="0.25">
      <c r="A386" s="22">
        <v>34.6</v>
      </c>
      <c r="B386" s="22">
        <v>3759.0824000000002</v>
      </c>
      <c r="C386" s="22">
        <v>0.47949742225534425</v>
      </c>
      <c r="D386" s="22">
        <v>66.542016801416523</v>
      </c>
      <c r="E386" s="22">
        <v>5.1901839852817488E-2</v>
      </c>
      <c r="F386" s="22">
        <v>14919913756.351421</v>
      </c>
      <c r="G386" s="23">
        <v>6.7024516115202014E-11</v>
      </c>
      <c r="H386" s="5"/>
      <c r="I386" s="5"/>
      <c r="J386" s="5"/>
    </row>
    <row r="387" spans="1:10" x14ac:dyDescent="0.25">
      <c r="A387" s="22">
        <v>34.700000000000003</v>
      </c>
      <c r="B387" s="22">
        <v>3780.8426000000009</v>
      </c>
      <c r="C387" s="22">
        <v>0.48100082031938701</v>
      </c>
      <c r="D387" s="22">
        <v>66.489924048685751</v>
      </c>
      <c r="E387" s="22">
        <v>5.2092752730771963E-2</v>
      </c>
      <c r="F387" s="22">
        <v>14951284675.34256</v>
      </c>
      <c r="G387" s="23">
        <v>6.6883884677093019E-11</v>
      </c>
      <c r="H387" s="5"/>
      <c r="I387" s="5"/>
      <c r="J387" s="5"/>
    </row>
    <row r="388" spans="1:10" x14ac:dyDescent="0.25">
      <c r="A388" s="22">
        <v>34.799999999999997</v>
      </c>
      <c r="B388" s="22">
        <v>3802.6655999999994</v>
      </c>
      <c r="C388" s="22">
        <v>0.4825053988753949</v>
      </c>
      <c r="D388" s="22">
        <v>66.437639934001268</v>
      </c>
      <c r="E388" s="22">
        <v>5.2284114684482574E-2</v>
      </c>
      <c r="F388" s="22">
        <v>14982545240.122244</v>
      </c>
      <c r="G388" s="23">
        <v>6.6744333754592484E-11</v>
      </c>
      <c r="H388" s="5"/>
      <c r="I388" s="5"/>
      <c r="J388" s="5"/>
    </row>
    <row r="389" spans="1:10" x14ac:dyDescent="0.25">
      <c r="A389" s="22">
        <v>34.9</v>
      </c>
      <c r="B389" s="22">
        <v>3824.5513999999998</v>
      </c>
      <c r="C389" s="22">
        <v>0.48401116412262385</v>
      </c>
      <c r="D389" s="22">
        <v>66.385164005220318</v>
      </c>
      <c r="E389" s="22">
        <v>5.2475928780950198E-2</v>
      </c>
      <c r="F389" s="22">
        <v>15013694977.915434</v>
      </c>
      <c r="G389" s="23">
        <v>6.6605855618551026E-11</v>
      </c>
      <c r="H389" s="5"/>
      <c r="I389" s="5"/>
      <c r="J389" s="5"/>
    </row>
    <row r="390" spans="1:10" x14ac:dyDescent="0.25">
      <c r="A390" s="22">
        <v>35</v>
      </c>
      <c r="B390" s="22">
        <v>3846.5</v>
      </c>
      <c r="C390" s="22">
        <v>0.48551812229559116</v>
      </c>
      <c r="D390" s="22">
        <v>66.332495807108003</v>
      </c>
      <c r="E390" s="22">
        <v>5.2668198112314712E-2</v>
      </c>
      <c r="F390" s="22">
        <v>15044733414.085196</v>
      </c>
      <c r="G390" s="23">
        <v>6.6468442642112815E-11</v>
      </c>
      <c r="H390" s="5"/>
      <c r="I390" s="5"/>
      <c r="J390" s="5"/>
    </row>
    <row r="391" spans="1:10" x14ac:dyDescent="0.25">
      <c r="A391" s="22">
        <v>35.1</v>
      </c>
      <c r="B391" s="22">
        <v>3868.5114000000008</v>
      </c>
      <c r="C391" s="22">
        <v>0.48702627966439882</v>
      </c>
      <c r="D391" s="22">
        <v>66.279634881311765</v>
      </c>
      <c r="E391" s="22">
        <v>5.2860925796238689E-2</v>
      </c>
      <c r="F391" s="22">
        <v>15075660072.08872</v>
      </c>
      <c r="G391" s="23">
        <v>6.6332087299541424E-11</v>
      </c>
      <c r="H391" s="5"/>
      <c r="I391" s="5"/>
      <c r="J391" s="5"/>
    </row>
    <row r="392" spans="1:10" x14ac:dyDescent="0.25">
      <c r="A392" s="22">
        <v>35.200000000000003</v>
      </c>
      <c r="B392" s="22">
        <v>3890.5856000000008</v>
      </c>
      <c r="C392" s="22">
        <v>0.4885356425350601</v>
      </c>
      <c r="D392" s="22">
        <v>66.2265807663358</v>
      </c>
      <c r="E392" s="22">
        <v>5.3054114975964239E-2</v>
      </c>
      <c r="F392" s="22">
        <v>15106474473.527563</v>
      </c>
      <c r="G392" s="23">
        <v>6.6196782164653317E-11</v>
      </c>
      <c r="H392" s="5"/>
      <c r="I392" s="5"/>
      <c r="J392" s="5"/>
    </row>
    <row r="393" spans="1:10" x14ac:dyDescent="0.25">
      <c r="A393" s="22">
        <v>35.299999999999997</v>
      </c>
      <c r="B393" s="22">
        <v>3912.7225999999996</v>
      </c>
      <c r="C393" s="22">
        <v>0.49004621724983</v>
      </c>
      <c r="D393" s="22">
        <v>66.173332997514947</v>
      </c>
      <c r="E393" s="22">
        <v>5.3247768820853025E-2</v>
      </c>
      <c r="F393" s="22">
        <v>15137176138.060905</v>
      </c>
      <c r="G393" s="23">
        <v>6.6062519909879406E-11</v>
      </c>
      <c r="H393" s="5"/>
      <c r="I393" s="5"/>
      <c r="J393" s="5"/>
    </row>
    <row r="394" spans="1:10" x14ac:dyDescent="0.25">
      <c r="A394" s="22">
        <v>35.4</v>
      </c>
      <c r="B394" s="22">
        <v>3934.9223999999999</v>
      </c>
      <c r="C394" s="22">
        <v>0.49155801018753975</v>
      </c>
      <c r="D394" s="22">
        <v>66.119891106988376</v>
      </c>
      <c r="E394" s="22">
        <v>5.3441890526571001E-2</v>
      </c>
      <c r="F394" s="22">
        <v>15167764583.421263</v>
      </c>
      <c r="G394" s="23">
        <v>6.5929293304896393E-11</v>
      </c>
      <c r="H394" s="5"/>
      <c r="I394" s="5"/>
      <c r="J394" s="5"/>
    </row>
    <row r="395" spans="1:10" x14ac:dyDescent="0.25">
      <c r="A395" s="22">
        <v>35.5</v>
      </c>
      <c r="B395" s="22">
        <v>3957.1849999999999</v>
      </c>
      <c r="C395" s="22">
        <v>0.49307102776393391</v>
      </c>
      <c r="D395" s="22">
        <v>66.066254623673046</v>
      </c>
      <c r="E395" s="22">
        <v>5.3636483315329997E-2</v>
      </c>
      <c r="F395" s="22">
        <v>15198239325.414742</v>
      </c>
      <c r="G395" s="23">
        <v>6.5797095215350622E-11</v>
      </c>
      <c r="H395" s="5"/>
      <c r="I395" s="5"/>
      <c r="J395" s="5"/>
    </row>
    <row r="396" spans="1:10" x14ac:dyDescent="0.25">
      <c r="A396" s="22">
        <v>35.6</v>
      </c>
      <c r="B396" s="22">
        <v>3979.5104000000006</v>
      </c>
      <c r="C396" s="22">
        <v>0.49458527643201294</v>
      </c>
      <c r="D396" s="22">
        <v>66.012423073236761</v>
      </c>
      <c r="E396" s="22">
        <v>5.3831550436285625E-2</v>
      </c>
      <c r="F396" s="22">
        <v>15228599877.877953</v>
      </c>
      <c r="G396" s="23">
        <v>6.5665918601792443E-11</v>
      </c>
      <c r="H396" s="5"/>
      <c r="I396" s="5"/>
      <c r="J396" s="5"/>
    </row>
    <row r="397" spans="1:10" x14ac:dyDescent="0.25">
      <c r="A397" s="22">
        <v>35.700000000000003</v>
      </c>
      <c r="B397" s="22">
        <v>4001.8986000000009</v>
      </c>
      <c r="C397" s="22">
        <v>0.49610076268237813</v>
      </c>
      <c r="D397" s="22">
        <v>65.958395978070911</v>
      </c>
      <c r="E397" s="22">
        <v>5.4027095165849914E-2</v>
      </c>
      <c r="F397" s="22">
        <v>15258845752.660252</v>
      </c>
      <c r="G397" s="23">
        <v>6.5535756518520306E-11</v>
      </c>
      <c r="H397" s="5"/>
      <c r="I397" s="5"/>
      <c r="J397" s="5"/>
    </row>
    <row r="398" spans="1:10" x14ac:dyDescent="0.25">
      <c r="A398" s="22">
        <v>35.799999999999997</v>
      </c>
      <c r="B398" s="22">
        <v>4024.3495999999996</v>
      </c>
      <c r="C398" s="22">
        <v>0.49761749304358144</v>
      </c>
      <c r="D398" s="22">
        <v>65.904172857262992</v>
      </c>
      <c r="E398" s="22">
        <v>5.422312080791869E-2</v>
      </c>
      <c r="F398" s="22">
        <v>15288976459.63106</v>
      </c>
      <c r="G398" s="23">
        <v>6.5406602112338598E-11</v>
      </c>
      <c r="H398" s="5"/>
      <c r="I398" s="5"/>
      <c r="J398" s="5"/>
    </row>
    <row r="399" spans="1:10" x14ac:dyDescent="0.25">
      <c r="A399" s="22">
        <v>35.9</v>
      </c>
      <c r="B399" s="22">
        <v>4046.8633999999997</v>
      </c>
      <c r="C399" s="22">
        <v>0.49913547408247894</v>
      </c>
      <c r="D399" s="22">
        <v>65.849753226568737</v>
      </c>
      <c r="E399" s="22">
        <v>5.4419630694255261E-2</v>
      </c>
      <c r="F399" s="22">
        <v>15318991506.644009</v>
      </c>
      <c r="G399" s="23">
        <v>6.5278448621522473E-11</v>
      </c>
      <c r="H399" s="5"/>
      <c r="I399" s="5"/>
      <c r="J399" s="5"/>
    </row>
    <row r="400" spans="1:10" x14ac:dyDescent="0.25">
      <c r="A400" s="22">
        <v>36</v>
      </c>
      <c r="B400" s="22">
        <v>4069.44</v>
      </c>
      <c r="C400" s="22">
        <v>0.50065471240458814</v>
      </c>
      <c r="D400" s="22">
        <v>65.795136598383934</v>
      </c>
      <c r="E400" s="22">
        <v>5.4616628184803062E-2</v>
      </c>
      <c r="F400" s="22">
        <v>15348890399.522249</v>
      </c>
      <c r="G400" s="23">
        <v>6.5151289374711154E-11</v>
      </c>
      <c r="H400" s="5"/>
      <c r="I400" s="5"/>
      <c r="J400" s="5"/>
    </row>
    <row r="401" spans="1:10" x14ac:dyDescent="0.25">
      <c r="A401" s="22">
        <v>36.1</v>
      </c>
      <c r="B401" s="22">
        <v>4092.0794000000005</v>
      </c>
      <c r="C401" s="22">
        <v>0.50217521465444992</v>
      </c>
      <c r="D401" s="22">
        <v>65.740322481715893</v>
      </c>
      <c r="E401" s="22">
        <v>5.4814116668040924E-2</v>
      </c>
      <c r="F401" s="22">
        <v>15378672642.032892</v>
      </c>
      <c r="G401" s="23">
        <v>6.5025117789867399E-11</v>
      </c>
      <c r="H401" s="5"/>
      <c r="I401" s="5"/>
      <c r="J401" s="5"/>
    </row>
    <row r="402" spans="1:10" x14ac:dyDescent="0.25">
      <c r="A402" s="22">
        <v>36.200000000000003</v>
      </c>
      <c r="B402" s="22">
        <v>4114.7816000000003</v>
      </c>
      <c r="C402" s="22">
        <v>0.50369698751599368</v>
      </c>
      <c r="D402" s="22">
        <v>65.685310382154697</v>
      </c>
      <c r="E402" s="22">
        <v>5.5012099561196237E-2</v>
      </c>
      <c r="F402" s="22">
        <v>15408337735.902403</v>
      </c>
      <c r="G402" s="23">
        <v>6.4899927373082994E-11</v>
      </c>
      <c r="H402" s="5"/>
      <c r="I402" s="5"/>
      <c r="J402" s="5"/>
    </row>
    <row r="403" spans="1:10" x14ac:dyDescent="0.25">
      <c r="A403" s="22">
        <v>36.299999999999997</v>
      </c>
      <c r="B403" s="22">
        <v>4137.5465999999997</v>
      </c>
      <c r="C403" s="22">
        <v>0.50522003771290802</v>
      </c>
      <c r="D403" s="22">
        <v>65.630099801843969</v>
      </c>
      <c r="E403" s="22">
        <v>5.5210580310728119E-2</v>
      </c>
      <c r="F403" s="22">
        <v>15437885180.757292</v>
      </c>
      <c r="G403" s="23">
        <v>6.4775711717720262E-11</v>
      </c>
      <c r="H403" s="5"/>
      <c r="I403" s="5"/>
      <c r="J403" s="5"/>
    </row>
    <row r="404" spans="1:10" x14ac:dyDescent="0.25">
      <c r="A404" s="22">
        <v>36.4</v>
      </c>
      <c r="B404" s="22">
        <v>4160.3743999999997</v>
      </c>
      <c r="C404" s="22">
        <v>0.50674437200901468</v>
      </c>
      <c r="D404" s="22">
        <v>65.574690239451371</v>
      </c>
      <c r="E404" s="22">
        <v>5.5409562392597422E-2</v>
      </c>
      <c r="F404" s="22">
        <v>15467314474.125822</v>
      </c>
      <c r="G404" s="23">
        <v>6.4652464503313054E-11</v>
      </c>
      <c r="H404" s="5"/>
      <c r="I404" s="5"/>
      <c r="J404" s="5"/>
    </row>
    <row r="405" spans="1:10" x14ac:dyDescent="0.25">
      <c r="A405" s="22">
        <v>36.5</v>
      </c>
      <c r="B405" s="22">
        <v>4183.2650000000003</v>
      </c>
      <c r="C405" s="22">
        <v>0.50826999720864685</v>
      </c>
      <c r="D405" s="22">
        <v>65.519081190138806</v>
      </c>
      <c r="E405" s="22">
        <v>5.5609049312565162E-2</v>
      </c>
      <c r="F405" s="22">
        <v>15496625111.432762</v>
      </c>
      <c r="G405" s="23">
        <v>6.4530179494517278E-11</v>
      </c>
      <c r="H405" s="5"/>
      <c r="I405" s="5"/>
      <c r="J405" s="5"/>
    </row>
    <row r="406" spans="1:10" x14ac:dyDescent="0.25">
      <c r="A406" s="22">
        <v>36.6</v>
      </c>
      <c r="B406" s="22">
        <v>4206.2184000000007</v>
      </c>
      <c r="C406" s="22">
        <v>0.50979692015703226</v>
      </c>
      <c r="D406" s="22">
        <v>65.463272145532102</v>
      </c>
      <c r="E406" s="22">
        <v>5.5809044606704106E-2</v>
      </c>
      <c r="F406" s="22">
        <v>15525816585.935846</v>
      </c>
      <c r="G406" s="23">
        <v>6.4408850540322372E-11</v>
      </c>
      <c r="H406" s="5"/>
      <c r="I406" s="5"/>
      <c r="J406" s="5"/>
    </row>
    <row r="407" spans="1:10" x14ac:dyDescent="0.25">
      <c r="A407" s="22">
        <v>36.700000000000003</v>
      </c>
      <c r="B407" s="22">
        <v>4229.2346000000007</v>
      </c>
      <c r="C407" s="22">
        <v>0.51132514774068105</v>
      </c>
      <c r="D407" s="22">
        <v>65.407262593690618</v>
      </c>
      <c r="E407" s="22">
        <v>5.600955184148404E-2</v>
      </c>
      <c r="F407" s="22">
        <v>15554888388.782295</v>
      </c>
      <c r="G407" s="23">
        <v>6.4288471572780241E-11</v>
      </c>
      <c r="H407" s="5"/>
      <c r="I407" s="5"/>
      <c r="J407" s="5"/>
    </row>
    <row r="408" spans="1:10" x14ac:dyDescent="0.25">
      <c r="A408" s="22">
        <v>36.799999999999997</v>
      </c>
      <c r="B408" s="22">
        <v>4252.3135999999995</v>
      </c>
      <c r="C408" s="22">
        <v>0.51285468688777669</v>
      </c>
      <c r="D408" s="22">
        <v>65.351052019076178</v>
      </c>
      <c r="E408" s="22">
        <v>5.6210574614439679E-2</v>
      </c>
      <c r="F408" s="22">
        <v>15583840008.904202</v>
      </c>
      <c r="G408" s="23">
        <v>6.4169036606422168E-11</v>
      </c>
      <c r="H408" s="5"/>
      <c r="I408" s="5"/>
      <c r="J408" s="5"/>
    </row>
    <row r="409" spans="1:10" x14ac:dyDescent="0.25">
      <c r="A409" s="22">
        <v>36.9</v>
      </c>
      <c r="B409" s="22">
        <v>4275.4553999999998</v>
      </c>
      <c r="C409" s="22">
        <v>0.51438554456857388</v>
      </c>
      <c r="D409" s="22">
        <v>65.294639902521865</v>
      </c>
      <c r="E409" s="22">
        <v>5.6412116554312774E-2</v>
      </c>
      <c r="F409" s="22">
        <v>15612670933.061562</v>
      </c>
      <c r="G409" s="23">
        <v>6.4050539737079146E-11</v>
      </c>
      <c r="H409" s="5"/>
      <c r="I409" s="5"/>
      <c r="J409" s="5"/>
    </row>
    <row r="410" spans="1:10" x14ac:dyDescent="0.25">
      <c r="A410" s="22">
        <v>37</v>
      </c>
      <c r="B410" s="22">
        <v>4298.66</v>
      </c>
      <c r="C410" s="22">
        <v>0.51591772779579859</v>
      </c>
      <c r="D410" s="22">
        <v>65.238025721200358</v>
      </c>
      <c r="E410" s="22">
        <v>5.6614181321506862E-2</v>
      </c>
      <c r="F410" s="22">
        <v>15641380645.799482</v>
      </c>
      <c r="G410" s="23">
        <v>6.3932975141075638E-11</v>
      </c>
      <c r="H410" s="5"/>
      <c r="I410" s="5"/>
      <c r="J410" s="5"/>
    </row>
    <row r="411" spans="1:10" x14ac:dyDescent="0.25">
      <c r="A411" s="22">
        <v>37.1</v>
      </c>
      <c r="B411" s="22">
        <v>4321.9274000000005</v>
      </c>
      <c r="C411" s="22">
        <v>0.51745124362505379</v>
      </c>
      <c r="D411" s="22">
        <v>65.18120894859193</v>
      </c>
      <c r="E411" s="22">
        <v>5.6816772608428323E-2</v>
      </c>
      <c r="F411" s="22">
        <v>15669968629.438282</v>
      </c>
      <c r="G411" s="23">
        <v>6.3816337074303816E-11</v>
      </c>
      <c r="H411" s="5"/>
      <c r="I411" s="5"/>
      <c r="J411" s="5"/>
    </row>
    <row r="412" spans="1:10" x14ac:dyDescent="0.25">
      <c r="A412" s="22">
        <v>37.200000000000003</v>
      </c>
      <c r="B412" s="22">
        <v>4345.2576000000008</v>
      </c>
      <c r="C412" s="22">
        <v>0.51898609915523153</v>
      </c>
      <c r="D412" s="22">
        <v>65.124189054451946</v>
      </c>
      <c r="E412" s="22">
        <v>5.7019894139983762E-2</v>
      </c>
      <c r="F412" s="22">
        <v>15698434364.02169</v>
      </c>
      <c r="G412" s="23">
        <v>6.3700619871484806E-11</v>
      </c>
      <c r="H412" s="5"/>
      <c r="I412" s="5"/>
      <c r="J412" s="5"/>
    </row>
    <row r="413" spans="1:10" x14ac:dyDescent="0.25">
      <c r="A413" s="22">
        <v>37.299999999999997</v>
      </c>
      <c r="B413" s="22">
        <v>4368.6505999999999</v>
      </c>
      <c r="C413" s="22">
        <v>0.52052230152892687</v>
      </c>
      <c r="D413" s="22">
        <v>65.066965504778224</v>
      </c>
      <c r="E413" s="22">
        <v>5.7223549673722118E-2</v>
      </c>
      <c r="F413" s="22">
        <v>15726777327.36434</v>
      </c>
      <c r="G413" s="23">
        <v>6.3585817945041797E-11</v>
      </c>
      <c r="H413" s="5"/>
      <c r="I413" s="5"/>
      <c r="J413" s="5"/>
    </row>
    <row r="414" spans="1:10" x14ac:dyDescent="0.25">
      <c r="A414" s="22">
        <v>37.4</v>
      </c>
      <c r="B414" s="22">
        <v>4392.1063999999997</v>
      </c>
      <c r="C414" s="22">
        <v>0.52205985793285958</v>
      </c>
      <c r="D414" s="22">
        <v>65.009537761777693</v>
      </c>
      <c r="E414" s="22">
        <v>5.7427743000530995E-2</v>
      </c>
      <c r="F414" s="22">
        <v>15754996994.947792</v>
      </c>
      <c r="G414" s="23">
        <v>6.3471925784604936E-11</v>
      </c>
      <c r="H414" s="5"/>
      <c r="I414" s="5"/>
      <c r="J414" s="5"/>
    </row>
    <row r="415" spans="1:10" x14ac:dyDescent="0.25">
      <c r="A415" s="22">
        <v>37.5</v>
      </c>
      <c r="B415" s="22">
        <v>4415.625</v>
      </c>
      <c r="C415" s="22">
        <v>0.52359877559829893</v>
      </c>
      <c r="D415" s="22">
        <v>64.9519052838329</v>
      </c>
      <c r="E415" s="22">
        <v>5.7632477944792981E-2</v>
      </c>
      <c r="F415" s="22">
        <v>15783092839.966684</v>
      </c>
      <c r="G415" s="23">
        <v>6.3358937955921622E-11</v>
      </c>
      <c r="H415" s="5"/>
      <c r="I415" s="5"/>
      <c r="J415" s="5"/>
    </row>
    <row r="416" spans="1:10" x14ac:dyDescent="0.25">
      <c r="A416" s="22">
        <v>37.6</v>
      </c>
      <c r="B416" s="22">
        <v>4439.2064</v>
      </c>
      <c r="C416" s="22">
        <v>0.52513906180149417</v>
      </c>
      <c r="D416" s="22">
        <v>64.894067525468003</v>
      </c>
      <c r="E416" s="22">
        <v>5.783775836489724E-2</v>
      </c>
      <c r="F416" s="22">
        <v>15811064333.278379</v>
      </c>
      <c r="G416" s="23">
        <v>6.3246849100173949E-11</v>
      </c>
      <c r="H416" s="5"/>
      <c r="I416" s="5"/>
      <c r="J416" s="5"/>
    </row>
    <row r="417" spans="1:10" x14ac:dyDescent="0.25">
      <c r="A417" s="22">
        <v>37.700000000000003</v>
      </c>
      <c r="B417" s="22">
        <v>4462.8506000000007</v>
      </c>
      <c r="C417" s="22">
        <v>0.52668072386411091</v>
      </c>
      <c r="D417" s="22">
        <v>64.836023937314351</v>
      </c>
      <c r="E417" s="22">
        <v>5.8043588153651626E-2</v>
      </c>
      <c r="F417" s="22">
        <v>15838910943.381475</v>
      </c>
      <c r="G417" s="23">
        <v>6.3135653933193236E-11</v>
      </c>
      <c r="H417" s="5"/>
      <c r="I417" s="5"/>
      <c r="J417" s="5"/>
    </row>
    <row r="418" spans="1:10" x14ac:dyDescent="0.25">
      <c r="A418" s="22">
        <v>37.799999999999997</v>
      </c>
      <c r="B418" s="22">
        <v>4486.5575999999992</v>
      </c>
      <c r="C418" s="22">
        <v>0.5282237691536712</v>
      </c>
      <c r="D418" s="22">
        <v>64.777773966075742</v>
      </c>
      <c r="E418" s="22">
        <v>5.8249971238609533E-2</v>
      </c>
      <c r="F418" s="22">
        <v>15866632136.418921</v>
      </c>
      <c r="G418" s="23">
        <v>6.3025347244591682E-11</v>
      </c>
      <c r="H418" s="5"/>
      <c r="I418" s="5"/>
      <c r="J418" s="5"/>
    </row>
    <row r="419" spans="1:10" x14ac:dyDescent="0.25">
      <c r="A419" s="22">
        <v>37.9</v>
      </c>
      <c r="B419" s="22">
        <v>4510.3274000000001</v>
      </c>
      <c r="C419" s="22">
        <v>0.52976820508400047</v>
      </c>
      <c r="D419" s="22">
        <v>64.719317054493089</v>
      </c>
      <c r="E419" s="22">
        <v>5.8456911582652538E-2</v>
      </c>
      <c r="F419" s="22">
        <v>15894227376.112776</v>
      </c>
      <c r="G419" s="23">
        <v>6.2915923897180856E-11</v>
      </c>
      <c r="H419" s="5"/>
      <c r="I419" s="5"/>
      <c r="J419" s="5"/>
    </row>
    <row r="420" spans="1:10" x14ac:dyDescent="0.25">
      <c r="A420" s="22">
        <v>38</v>
      </c>
      <c r="B420" s="22">
        <v>4534.16</v>
      </c>
      <c r="C420" s="22">
        <v>0.53131403911567887</v>
      </c>
      <c r="D420" s="22">
        <v>64.660652641308843</v>
      </c>
      <c r="E420" s="22">
        <v>5.86644131842462E-2</v>
      </c>
      <c r="F420" s="22">
        <v>15921696123.789528</v>
      </c>
      <c r="G420" s="23">
        <v>6.2807378826043678E-11</v>
      </c>
      <c r="H420" s="5"/>
      <c r="I420" s="5"/>
      <c r="J420" s="5"/>
    </row>
    <row r="421" spans="1:10" x14ac:dyDescent="0.25">
      <c r="A421" s="22">
        <v>38.1</v>
      </c>
      <c r="B421" s="22">
        <v>4558.0554000000011</v>
      </c>
      <c r="C421" s="22">
        <v>0.53286127875649814</v>
      </c>
      <c r="D421" s="22">
        <v>64.601780161230849</v>
      </c>
      <c r="E421" s="22">
        <v>5.8872480077994283E-2</v>
      </c>
      <c r="F421" s="22">
        <v>15949037838.325588</v>
      </c>
      <c r="G421" s="23">
        <v>6.2699707037937856E-11</v>
      </c>
      <c r="H421" s="5"/>
      <c r="I421" s="5"/>
      <c r="J421" s="5"/>
    </row>
    <row r="422" spans="1:10" x14ac:dyDescent="0.25">
      <c r="A422" s="22">
        <v>38.200000000000003</v>
      </c>
      <c r="B422" s="22">
        <v>4582.0136000000002</v>
      </c>
      <c r="C422" s="22">
        <v>0.53440993156192473</v>
      </c>
      <c r="D422" s="22">
        <v>64.542699044895841</v>
      </c>
      <c r="E422" s="22">
        <v>5.9081116335008232E-2</v>
      </c>
      <c r="F422" s="22">
        <v>15976251976.144527</v>
      </c>
      <c r="G422" s="23">
        <v>6.2592903610507853E-11</v>
      </c>
      <c r="H422" s="5"/>
      <c r="I422" s="5"/>
      <c r="J422" s="5"/>
    </row>
    <row r="423" spans="1:10" x14ac:dyDescent="0.25">
      <c r="A423" s="22">
        <v>38.299999999999997</v>
      </c>
      <c r="B423" s="22">
        <v>4606.0346</v>
      </c>
      <c r="C423" s="22">
        <v>0.53596000513556719</v>
      </c>
      <c r="D423" s="22">
        <v>64.483408718832479</v>
      </c>
      <c r="E423" s="22">
        <v>5.9290326063361931E-2</v>
      </c>
      <c r="F423" s="22">
        <v>16003337991.192656</v>
      </c>
      <c r="G423" s="23">
        <v>6.2486963691596359E-11</v>
      </c>
      <c r="H423" s="5"/>
      <c r="I423" s="5"/>
      <c r="J423" s="5"/>
    </row>
    <row r="424" spans="1:10" x14ac:dyDescent="0.25">
      <c r="A424" s="22">
        <v>38.4</v>
      </c>
      <c r="B424" s="22">
        <v>4630.1183999999994</v>
      </c>
      <c r="C424" s="22">
        <v>0.53751150712965201</v>
      </c>
      <c r="D424" s="22">
        <v>64.423908605423804</v>
      </c>
      <c r="E424" s="22">
        <v>5.9500113408674338E-2</v>
      </c>
      <c r="F424" s="22">
        <v>16030295334.881624</v>
      </c>
      <c r="G424" s="23">
        <v>6.2381882498697236E-11</v>
      </c>
      <c r="H424" s="5"/>
      <c r="I424" s="5"/>
      <c r="J424" s="5"/>
    </row>
    <row r="425" spans="1:10" x14ac:dyDescent="0.25">
      <c r="A425" s="22">
        <v>38.5</v>
      </c>
      <c r="B425" s="22">
        <v>4654.2650000000003</v>
      </c>
      <c r="C425" s="22">
        <v>0.5390644452455009</v>
      </c>
      <c r="D425" s="22">
        <v>64.364198122869524</v>
      </c>
      <c r="E425" s="22">
        <v>5.971048255428002E-2</v>
      </c>
      <c r="F425" s="22">
        <v>16057123456.143888</v>
      </c>
      <c r="G425" s="23">
        <v>6.2277655317981191E-11</v>
      </c>
      <c r="H425" s="5"/>
      <c r="I425" s="5"/>
      <c r="J425" s="5"/>
    </row>
    <row r="426" spans="1:10" x14ac:dyDescent="0.25">
      <c r="A426" s="22">
        <v>38.6</v>
      </c>
      <c r="B426" s="22">
        <v>4678.4744000000001</v>
      </c>
      <c r="C426" s="22">
        <v>0.54061882723401844</v>
      </c>
      <c r="D426" s="22">
        <v>64.304276685147471</v>
      </c>
      <c r="E426" s="22">
        <v>5.9921437722053383E-2</v>
      </c>
      <c r="F426" s="22">
        <v>16083821801.313311</v>
      </c>
      <c r="G426" s="23">
        <v>6.2174277504016228E-11</v>
      </c>
      <c r="H426" s="5"/>
      <c r="I426" s="5"/>
      <c r="J426" s="5"/>
    </row>
    <row r="427" spans="1:10" x14ac:dyDescent="0.25">
      <c r="A427" s="22">
        <v>38.700000000000003</v>
      </c>
      <c r="B427" s="22">
        <v>4702.7466000000013</v>
      </c>
      <c r="C427" s="22">
        <v>0.54217466089618305</v>
      </c>
      <c r="D427" s="22">
        <v>64.244143701974892</v>
      </c>
      <c r="E427" s="22">
        <v>6.0132983172579202E-2</v>
      </c>
      <c r="F427" s="22">
        <v>16110389814.183708</v>
      </c>
      <c r="G427" s="23">
        <v>6.207174447880786E-11</v>
      </c>
      <c r="H427" s="5"/>
      <c r="I427" s="5"/>
      <c r="J427" s="5"/>
    </row>
    <row r="428" spans="1:10" x14ac:dyDescent="0.25">
      <c r="A428" s="22">
        <v>38.799999999999997</v>
      </c>
      <c r="B428" s="22">
        <v>4727.0815999999995</v>
      </c>
      <c r="C428" s="22">
        <v>0.54373195408354424</v>
      </c>
      <c r="D428" s="22">
        <v>64.183798578769085</v>
      </c>
      <c r="E428" s="22">
        <v>6.0345123205806317E-2</v>
      </c>
      <c r="F428" s="22">
        <v>16136826935.938784</v>
      </c>
      <c r="G428" s="23">
        <v>6.1970051731351949E-11</v>
      </c>
      <c r="H428" s="5"/>
      <c r="I428" s="5"/>
      <c r="J428" s="5"/>
    </row>
    <row r="429" spans="1:10" x14ac:dyDescent="0.25">
      <c r="A429" s="22">
        <v>38.9</v>
      </c>
      <c r="B429" s="22">
        <v>4751.4794000000002</v>
      </c>
      <c r="C429" s="22">
        <v>0.54529071469872759</v>
      </c>
      <c r="D429" s="22">
        <v>64.123240716607583</v>
      </c>
      <c r="E429" s="22">
        <v>6.0557862161502385E-2</v>
      </c>
      <c r="F429" s="22">
        <v>16163132605.137472</v>
      </c>
      <c r="G429" s="23">
        <v>6.1869194816984218E-11</v>
      </c>
      <c r="H429" s="5"/>
      <c r="I429" s="5"/>
      <c r="J429" s="5"/>
    </row>
    <row r="430" spans="1:10" x14ac:dyDescent="0.25">
      <c r="A430" s="22">
        <v>39</v>
      </c>
      <c r="B430" s="22">
        <v>4775.9400000000005</v>
      </c>
      <c r="C430" s="22">
        <v>0.54685095069594403</v>
      </c>
      <c r="D430" s="22">
        <v>64.062469512187874</v>
      </c>
      <c r="E430" s="22">
        <v>6.0771204419708624E-2</v>
      </c>
      <c r="F430" s="22">
        <v>16189306257.700747</v>
      </c>
      <c r="G430" s="23">
        <v>6.1769169356737035E-11</v>
      </c>
      <c r="H430" s="5"/>
      <c r="I430" s="5"/>
      <c r="J430" s="5"/>
    </row>
    <row r="431" spans="1:10" x14ac:dyDescent="0.25">
      <c r="A431" s="22">
        <v>39.1</v>
      </c>
      <c r="B431" s="22">
        <v>4800.4634000000005</v>
      </c>
      <c r="C431" s="22">
        <v>0.54841267008150674</v>
      </c>
      <c r="D431" s="22">
        <v>64.00148435778658</v>
      </c>
      <c r="E431" s="22">
        <v>6.0985154401294039E-2</v>
      </c>
      <c r="F431" s="22">
        <v>16215347326.87365</v>
      </c>
      <c r="G431" s="23">
        <v>6.166997103680307E-11</v>
      </c>
      <c r="H431" s="5"/>
      <c r="I431" s="5"/>
      <c r="J431" s="5"/>
    </row>
    <row r="432" spans="1:10" x14ac:dyDescent="0.25">
      <c r="A432" s="22">
        <v>39.200000000000003</v>
      </c>
      <c r="B432" s="22">
        <v>4825.0496000000003</v>
      </c>
      <c r="C432" s="22">
        <v>0.5499758809143539</v>
      </c>
      <c r="D432" s="22">
        <v>63.940284641218163</v>
      </c>
      <c r="E432" s="22">
        <v>6.1199716568417273E-2</v>
      </c>
      <c r="F432" s="22">
        <v>16241255243.213711</v>
      </c>
      <c r="G432" s="23">
        <v>6.1571595607909841E-11</v>
      </c>
      <c r="H432" s="5"/>
      <c r="I432" s="5"/>
      <c r="J432" s="5"/>
    </row>
    <row r="433" spans="1:10" x14ac:dyDescent="0.25">
      <c r="A433" s="22">
        <v>39.299999999999997</v>
      </c>
      <c r="B433" s="22">
        <v>4849.6985999999997</v>
      </c>
      <c r="C433" s="22">
        <v>0.55154059130657818</v>
      </c>
      <c r="D433" s="22">
        <v>63.878869745793089</v>
      </c>
      <c r="E433" s="22">
        <v>6.1414895425073723E-2</v>
      </c>
      <c r="F433" s="22">
        <v>16267029434.558393</v>
      </c>
      <c r="G433" s="23">
        <v>6.1474038884785936E-11</v>
      </c>
      <c r="H433" s="5"/>
      <c r="I433" s="5"/>
      <c r="J433" s="5"/>
    </row>
    <row r="434" spans="1:10" x14ac:dyDescent="0.25">
      <c r="A434" s="22">
        <v>39.4</v>
      </c>
      <c r="B434" s="22">
        <v>4874.4103999999998</v>
      </c>
      <c r="C434" s="22">
        <v>0.55310680942396351</v>
      </c>
      <c r="D434" s="22">
        <v>63.81723905027544</v>
      </c>
      <c r="E434" s="22">
        <v>6.1630695517649769E-2</v>
      </c>
      <c r="F434" s="22">
        <v>16292669325.992567</v>
      </c>
      <c r="G434" s="23">
        <v>6.1377296745638016E-11</v>
      </c>
      <c r="H434" s="5"/>
      <c r="I434" s="5"/>
      <c r="J434" s="5"/>
    </row>
    <row r="435" spans="1:10" x14ac:dyDescent="0.25">
      <c r="A435" s="22">
        <v>39.5</v>
      </c>
      <c r="B435" s="22">
        <v>4899.1850000000004</v>
      </c>
      <c r="C435" s="22">
        <v>0.55467454348652723</v>
      </c>
      <c r="D435" s="22">
        <v>63.755391928840027</v>
      </c>
      <c r="E435" s="22">
        <v>6.1847121435413044E-2</v>
      </c>
      <c r="F435" s="22">
        <v>16318174339.834738</v>
      </c>
      <c r="G435" s="23">
        <v>6.1281365131568234E-11</v>
      </c>
      <c r="H435" s="5"/>
      <c r="I435" s="5"/>
      <c r="J435" s="5"/>
    </row>
    <row r="436" spans="1:10" x14ac:dyDescent="0.25">
      <c r="A436" s="22">
        <v>39.6</v>
      </c>
      <c r="B436" s="22">
        <v>4924.0224000000007</v>
      </c>
      <c r="C436" s="22">
        <v>0.55624380176907029</v>
      </c>
      <c r="D436" s="22">
        <v>63.693327751028988</v>
      </c>
      <c r="E436" s="22">
        <v>6.2064177811038235E-2</v>
      </c>
      <c r="F436" s="22">
        <v>16343543895.615681</v>
      </c>
      <c r="G436" s="23">
        <v>6.1186240046031876E-11</v>
      </c>
      <c r="H436" s="5"/>
      <c r="I436" s="5"/>
      <c r="J436" s="5"/>
    </row>
    <row r="437" spans="1:10" x14ac:dyDescent="0.25">
      <c r="A437" s="22">
        <v>39.700000000000003</v>
      </c>
      <c r="B437" s="22">
        <v>4948.9226000000008</v>
      </c>
      <c r="C437" s="22">
        <v>0.55781459260173383</v>
      </c>
      <c r="D437" s="22">
        <v>63.631045881707777</v>
      </c>
      <c r="E437" s="22">
        <v>6.2281869321211047E-2</v>
      </c>
      <c r="F437" s="22">
        <v>16368777410.038353</v>
      </c>
      <c r="G437" s="23">
        <v>6.1091917554376286E-11</v>
      </c>
      <c r="H437" s="5"/>
      <c r="I437" s="5"/>
      <c r="J437" s="5"/>
    </row>
    <row r="438" spans="1:10" x14ac:dyDescent="0.25">
      <c r="A438" s="22">
        <v>39.799999999999997</v>
      </c>
      <c r="B438" s="22">
        <v>4973.8855999999996</v>
      </c>
      <c r="C438" s="22">
        <v>0.55938692437056325</v>
      </c>
      <c r="D438" s="22">
        <v>63.568545681020581</v>
      </c>
      <c r="E438" s="22">
        <v>6.2500200687196639E-2</v>
      </c>
      <c r="F438" s="22">
        <v>16393874296.949203</v>
      </c>
      <c r="G438" s="23">
        <v>6.099839378334709E-11</v>
      </c>
      <c r="H438" s="5"/>
      <c r="I438" s="5"/>
      <c r="J438" s="5"/>
    </row>
    <row r="439" spans="1:10" x14ac:dyDescent="0.25">
      <c r="A439" s="22">
        <v>39.9</v>
      </c>
      <c r="B439" s="22">
        <v>4998.9114</v>
      </c>
      <c r="C439" s="22">
        <v>0.56096080551807925</v>
      </c>
      <c r="D439" s="22">
        <v>63.505826504345258</v>
      </c>
      <c r="E439" s="22">
        <v>6.2719176675322785E-2</v>
      </c>
      <c r="F439" s="22">
        <v>16418833967.333807</v>
      </c>
      <c r="G439" s="23">
        <v>6.090566492051483E-11</v>
      </c>
      <c r="H439" s="5"/>
      <c r="I439" s="5"/>
      <c r="J439" s="5"/>
    </row>
    <row r="440" spans="1:10" x14ac:dyDescent="0.25">
      <c r="A440" s="22">
        <v>40</v>
      </c>
      <c r="B440" s="22">
        <v>5024</v>
      </c>
      <c r="C440" s="22">
        <v>0.56253624454385565</v>
      </c>
      <c r="D440" s="22">
        <v>63.442887702247596</v>
      </c>
      <c r="E440" s="22">
        <v>6.2938802097662006E-2</v>
      </c>
      <c r="F440" s="22">
        <v>16443655829.262203</v>
      </c>
      <c r="G440" s="23">
        <v>6.0813727213899504E-11</v>
      </c>
      <c r="H440" s="5"/>
      <c r="I440" s="5"/>
      <c r="J440" s="5"/>
    </row>
    <row r="441" spans="1:10" x14ac:dyDescent="0.25">
      <c r="A441" s="22">
        <v>40.1</v>
      </c>
      <c r="B441" s="22">
        <v>5049.1514000000006</v>
      </c>
      <c r="C441" s="22">
        <v>0.56411325000510582</v>
      </c>
      <c r="D441" s="22">
        <v>63.379728620435095</v>
      </c>
      <c r="E441" s="22">
        <v>6.3159081812500517E-2</v>
      </c>
      <c r="F441" s="22">
        <v>16468339287.892202</v>
      </c>
      <c r="G441" s="23">
        <v>6.0722576971389987E-11</v>
      </c>
      <c r="H441" s="5"/>
      <c r="I441" s="5"/>
      <c r="J441" s="5"/>
    </row>
    <row r="442" spans="1:10" x14ac:dyDescent="0.25">
      <c r="A442" s="22">
        <v>40.200000000000003</v>
      </c>
      <c r="B442" s="22">
        <v>5074.365600000001</v>
      </c>
      <c r="C442" s="22">
        <v>0.56569183051727534</v>
      </c>
      <c r="D442" s="22">
        <v>63.316348599710011</v>
      </c>
      <c r="E442" s="22">
        <v>6.3380020725084307E-2</v>
      </c>
      <c r="F442" s="22">
        <v>16492883745.402243</v>
      </c>
      <c r="G442" s="23">
        <v>6.0632210560434715E-11</v>
      </c>
      <c r="H442" s="5"/>
      <c r="I442" s="5"/>
      <c r="J442" s="5"/>
    </row>
    <row r="443" spans="1:10" x14ac:dyDescent="0.25">
      <c r="A443" s="22">
        <v>40.299999999999997</v>
      </c>
      <c r="B443" s="22">
        <v>5099.6426000000001</v>
      </c>
      <c r="C443" s="22">
        <v>0.56727199475464374</v>
      </c>
      <c r="D443" s="22">
        <v>63.252746975921923</v>
      </c>
      <c r="E443" s="22">
        <v>6.3601623788088091E-2</v>
      </c>
      <c r="F443" s="22">
        <v>16517288600.998775</v>
      </c>
      <c r="G443" s="23">
        <v>6.0542624407466696E-11</v>
      </c>
      <c r="H443" s="5"/>
      <c r="I443" s="5"/>
      <c r="J443" s="5"/>
    </row>
    <row r="444" spans="1:10" x14ac:dyDescent="0.25">
      <c r="A444" s="22">
        <v>40.4</v>
      </c>
      <c r="B444" s="22">
        <v>5124.9823999999999</v>
      </c>
      <c r="C444" s="22">
        <v>0.56885375145093253</v>
      </c>
      <c r="D444" s="22">
        <v>63.188923079919633</v>
      </c>
      <c r="E444" s="22">
        <v>6.3823896002290326E-2</v>
      </c>
      <c r="F444" s="22">
        <v>16541553250.871969</v>
      </c>
      <c r="G444" s="23">
        <v>6.0453814997529697E-11</v>
      </c>
      <c r="H444" s="5"/>
      <c r="I444" s="5"/>
      <c r="J444" s="5"/>
    </row>
    <row r="445" spans="1:10" x14ac:dyDescent="0.25">
      <c r="A445" s="22">
        <v>40.5</v>
      </c>
      <c r="B445" s="22">
        <v>5150.3850000000002</v>
      </c>
      <c r="C445" s="22">
        <v>0.57043710939992198</v>
      </c>
      <c r="D445" s="22">
        <v>63.124876237502434</v>
      </c>
      <c r="E445" s="22">
        <v>6.4046842417198491E-2</v>
      </c>
      <c r="F445" s="22">
        <v>16565677088.166573</v>
      </c>
      <c r="G445" s="23">
        <v>6.0365778873858052E-11</v>
      </c>
      <c r="H445" s="5"/>
      <c r="I445" s="5"/>
      <c r="J445" s="5"/>
    </row>
    <row r="446" spans="1:10" x14ac:dyDescent="0.25">
      <c r="A446" s="22">
        <v>40.6</v>
      </c>
      <c r="B446" s="22">
        <v>5175.8504000000003</v>
      </c>
      <c r="C446" s="22">
        <v>0.57202207745607581</v>
      </c>
      <c r="D446" s="22">
        <v>63.060605769370781</v>
      </c>
      <c r="E446" s="22">
        <v>6.4270468131653047E-2</v>
      </c>
      <c r="F446" s="22">
        <v>16589659502.960533</v>
      </c>
      <c r="G446" s="23">
        <v>6.0278512637438012E-11</v>
      </c>
      <c r="H446" s="5"/>
      <c r="I446" s="5"/>
      <c r="J446" s="5"/>
    </row>
    <row r="447" spans="1:10" x14ac:dyDescent="0.25">
      <c r="A447" s="22">
        <v>40.700000000000003</v>
      </c>
      <c r="B447" s="22">
        <v>5201.3786000000009</v>
      </c>
      <c r="C447" s="22">
        <v>0.57360866453517423</v>
      </c>
      <c r="D447" s="22">
        <v>62.996110991076257</v>
      </c>
      <c r="E447" s="22">
        <v>6.4494778294523769E-2</v>
      </c>
      <c r="F447" s="22">
        <v>16613499882.22193</v>
      </c>
      <c r="G447" s="23">
        <v>6.0192012946657791E-11</v>
      </c>
      <c r="H447" s="5"/>
      <c r="I447" s="5"/>
      <c r="J447" s="5"/>
    </row>
    <row r="448" spans="1:10" x14ac:dyDescent="0.25">
      <c r="A448" s="22">
        <v>40.799999999999997</v>
      </c>
      <c r="B448" s="22">
        <v>5226.9695999999994</v>
      </c>
      <c r="C448" s="22">
        <v>0.57519687961495436</v>
      </c>
      <c r="D448" s="22">
        <v>62.931391212970979</v>
      </c>
      <c r="E448" s="22">
        <v>6.4719778105278181E-2</v>
      </c>
      <c r="F448" s="22">
        <v>16637197609.801226</v>
      </c>
      <c r="G448" s="23">
        <v>6.0106276516838676E-11</v>
      </c>
      <c r="H448" s="5"/>
      <c r="I448" s="5"/>
      <c r="J448" s="5"/>
    </row>
    <row r="449" spans="1:10" x14ac:dyDescent="0.25">
      <c r="A449" s="22">
        <v>40.9</v>
      </c>
      <c r="B449" s="22">
        <v>5252.6233999999995</v>
      </c>
      <c r="C449" s="22">
        <v>0.57678673173576134</v>
      </c>
      <c r="D449" s="22">
        <v>62.866445740156173</v>
      </c>
      <c r="E449" s="22">
        <v>6.4945472814805782E-2</v>
      </c>
      <c r="F449" s="22">
        <v>16660752066.359957</v>
      </c>
      <c r="G449" s="23">
        <v>6.0021300120005933E-11</v>
      </c>
      <c r="H449" s="5"/>
      <c r="I449" s="5"/>
      <c r="J449" s="5"/>
    </row>
    <row r="450" spans="1:10" x14ac:dyDescent="0.25">
      <c r="A450" s="22">
        <v>41</v>
      </c>
      <c r="B450" s="22">
        <v>5278.34</v>
      </c>
      <c r="C450" s="22">
        <v>0.57837823000120381</v>
      </c>
      <c r="D450" s="22">
        <v>62.801273872430329</v>
      </c>
      <c r="E450" s="22">
        <v>6.5171867725844379E-2</v>
      </c>
      <c r="F450" s="22">
        <v>16684162629.4041</v>
      </c>
      <c r="G450" s="23">
        <v>5.9937080584290396E-11</v>
      </c>
      <c r="H450" s="5"/>
      <c r="I450" s="5"/>
      <c r="J450" s="5"/>
    </row>
    <row r="451" spans="1:10" x14ac:dyDescent="0.25">
      <c r="A451" s="22">
        <v>41.1</v>
      </c>
      <c r="B451" s="22">
        <v>5304.1194000000005</v>
      </c>
      <c r="C451" s="22">
        <v>0.57997138357882339</v>
      </c>
      <c r="D451" s="22">
        <v>62.735874904236411</v>
      </c>
      <c r="E451" s="22">
        <v>6.5398968193917995E-2</v>
      </c>
      <c r="F451" s="22">
        <v>16707428673.188375</v>
      </c>
      <c r="G451" s="23">
        <v>5.9853614793805617E-11</v>
      </c>
      <c r="H451" s="5"/>
      <c r="I451" s="5"/>
      <c r="J451" s="5"/>
    </row>
    <row r="452" spans="1:10" x14ac:dyDescent="0.25">
      <c r="A452" s="22">
        <v>41.2</v>
      </c>
      <c r="B452" s="22">
        <v>5329.9616000000015</v>
      </c>
      <c r="C452" s="22">
        <v>0.58156620170076823</v>
      </c>
      <c r="D452" s="22">
        <v>62.670248124608534</v>
      </c>
      <c r="E452" s="22">
        <v>6.5626779627876886E-2</v>
      </c>
      <c r="F452" s="22">
        <v>16730549568.725216</v>
      </c>
      <c r="G452" s="23">
        <v>5.9770899688156211E-11</v>
      </c>
      <c r="H452" s="5"/>
      <c r="I452" s="5"/>
      <c r="J452" s="5"/>
    </row>
    <row r="453" spans="1:10" x14ac:dyDescent="0.25">
      <c r="A453" s="22">
        <v>41.3</v>
      </c>
      <c r="B453" s="22">
        <v>5355.8665999999994</v>
      </c>
      <c r="C453" s="22">
        <v>0.58316269366447893</v>
      </c>
      <c r="D453" s="22">
        <v>62.604392817117876</v>
      </c>
      <c r="E453" s="22">
        <v>6.5855307490657822E-2</v>
      </c>
      <c r="F453" s="22">
        <v>16753524683.739641</v>
      </c>
      <c r="G453" s="23">
        <v>5.9688932262150397E-11</v>
      </c>
      <c r="H453" s="5"/>
      <c r="I453" s="5"/>
      <c r="J453" s="5"/>
    </row>
    <row r="454" spans="1:10" x14ac:dyDescent="0.25">
      <c r="A454" s="22">
        <v>41.4</v>
      </c>
      <c r="B454" s="22">
        <v>5381.8344000000006</v>
      </c>
      <c r="C454" s="22">
        <v>0.58476086883338185</v>
      </c>
      <c r="D454" s="22">
        <v>62.538308259817839</v>
      </c>
      <c r="E454" s="22">
        <v>6.6084557300037261E-2</v>
      </c>
      <c r="F454" s="22">
        <v>16776353382.628698</v>
      </c>
      <c r="G454" s="23">
        <v>5.9607709565504472E-11</v>
      </c>
      <c r="H454" s="5"/>
      <c r="I454" s="5"/>
      <c r="J454" s="5"/>
    </row>
    <row r="455" spans="1:10" x14ac:dyDescent="0.25">
      <c r="A455" s="22">
        <v>41.5</v>
      </c>
      <c r="B455" s="22">
        <v>5407.8649999999998</v>
      </c>
      <c r="C455" s="22">
        <v>0.58636073663759192</v>
      </c>
      <c r="D455" s="22">
        <v>62.471993725188568</v>
      </c>
      <c r="E455" s="22">
        <v>6.6314534629270838E-2</v>
      </c>
      <c r="F455" s="22">
        <v>16799035026.452229</v>
      </c>
      <c r="G455" s="23">
        <v>5.9527228702444648E-11</v>
      </c>
      <c r="H455" s="5"/>
      <c r="I455" s="5"/>
      <c r="J455" s="5"/>
    </row>
    <row r="456" spans="1:10" x14ac:dyDescent="0.25">
      <c r="A456" s="22">
        <v>41.6</v>
      </c>
      <c r="B456" s="22">
        <v>5433.9584000000013</v>
      </c>
      <c r="C456" s="22">
        <v>0.58796230657462512</v>
      </c>
      <c r="D456" s="22">
        <v>62.405448480080643</v>
      </c>
      <c r="E456" s="22">
        <v>6.65452451079247E-2</v>
      </c>
      <c r="F456" s="22">
        <v>16821568972.87759</v>
      </c>
      <c r="G456" s="23">
        <v>5.9447486831481598E-11</v>
      </c>
      <c r="H456" s="5"/>
      <c r="I456" s="5"/>
      <c r="J456" s="5"/>
    </row>
    <row r="457" spans="1:10" x14ac:dyDescent="0.25">
      <c r="A457" s="22">
        <v>41.7</v>
      </c>
      <c r="B457" s="22">
        <v>5460.1146000000008</v>
      </c>
      <c r="C457" s="22">
        <v>0.58956558821012095</v>
      </c>
      <c r="D457" s="22">
        <v>62.33867178565805</v>
      </c>
      <c r="E457" s="22">
        <v>6.6776694422593152E-2</v>
      </c>
      <c r="F457" s="22">
        <v>16843954576.15587</v>
      </c>
      <c r="G457" s="23">
        <v>5.9368481165081617E-11</v>
      </c>
      <c r="H457" s="5"/>
      <c r="I457" s="5"/>
      <c r="J457" s="5"/>
    </row>
    <row r="458" spans="1:10" x14ac:dyDescent="0.25">
      <c r="A458" s="22">
        <v>41.8</v>
      </c>
      <c r="B458" s="22">
        <v>5486.3335999999999</v>
      </c>
      <c r="C458" s="22">
        <v>0.59117059117857362</v>
      </c>
      <c r="D458" s="22">
        <v>62.271662897340391</v>
      </c>
      <c r="E458" s="22">
        <v>6.7008888317658943E-2</v>
      </c>
      <c r="F458" s="22">
        <v>16866191187.090038</v>
      </c>
      <c r="G458" s="23">
        <v>5.9290208969375041E-11</v>
      </c>
      <c r="H458" s="5"/>
      <c r="I458" s="5"/>
      <c r="J458" s="5"/>
    </row>
    <row r="459" spans="1:10" x14ac:dyDescent="0.25">
      <c r="A459" s="22">
        <v>41.9</v>
      </c>
      <c r="B459" s="22">
        <v>5512.6153999999997</v>
      </c>
      <c r="C459" s="22">
        <v>0.592777325184074</v>
      </c>
      <c r="D459" s="22">
        <v>62.204421064744267</v>
      </c>
      <c r="E459" s="22">
        <v>6.7241832596124596E-2</v>
      </c>
      <c r="F459" s="22">
        <v>16888278152.987888</v>
      </c>
      <c r="G459" s="23">
        <v>5.9212667563926831E-11</v>
      </c>
      <c r="H459" s="5"/>
      <c r="I459" s="5"/>
      <c r="J459" s="5"/>
    </row>
    <row r="460" spans="1:10" x14ac:dyDescent="0.25">
      <c r="A460" s="22">
        <v>42</v>
      </c>
      <c r="B460" s="22">
        <v>5538.96</v>
      </c>
      <c r="C460" s="22">
        <v>0.59438580000106234</v>
      </c>
      <c r="D460" s="22">
        <v>62.13694553162393</v>
      </c>
      <c r="E460" s="22">
        <v>6.7475533120337161E-2</v>
      </c>
      <c r="F460" s="22">
        <v>16910214817.644682</v>
      </c>
      <c r="G460" s="23">
        <v>5.9135854321410901E-11</v>
      </c>
      <c r="H460" s="5"/>
      <c r="I460" s="5"/>
      <c r="J460" s="5"/>
    </row>
    <row r="461" spans="1:10" x14ac:dyDescent="0.25">
      <c r="A461" s="22">
        <v>42.1</v>
      </c>
      <c r="B461" s="22">
        <v>5565.367400000001</v>
      </c>
      <c r="C461" s="22">
        <v>0.5959960254750879</v>
      </c>
      <c r="D461" s="22">
        <v>62.069235535811131</v>
      </c>
      <c r="E461" s="22">
        <v>6.770999581279824E-2</v>
      </c>
      <c r="F461" s="22">
        <v>16932000521.307081</v>
      </c>
      <c r="G461" s="23">
        <v>5.9059766667359167E-11</v>
      </c>
      <c r="H461" s="5"/>
      <c r="I461" s="5"/>
      <c r="J461" s="5"/>
    </row>
    <row r="462" spans="1:10" x14ac:dyDescent="0.25">
      <c r="A462" s="22">
        <v>42.2</v>
      </c>
      <c r="B462" s="22">
        <v>5591.8376000000007</v>
      </c>
      <c r="C462" s="22">
        <v>0.59760801152358434</v>
      </c>
      <c r="D462" s="22">
        <v>62.001290309154051</v>
      </c>
      <c r="E462" s="22">
        <v>6.7945226657080582E-2</v>
      </c>
      <c r="F462" s="22">
        <v>16953634600.613382</v>
      </c>
      <c r="G462" s="23">
        <v>5.8984402080001181E-11</v>
      </c>
      <c r="H462" s="5"/>
      <c r="I462" s="5"/>
      <c r="J462" s="5"/>
    </row>
    <row r="463" spans="1:10" x14ac:dyDescent="0.25">
      <c r="A463" s="22">
        <v>42.3</v>
      </c>
      <c r="B463" s="22">
        <v>5618.3705999999993</v>
      </c>
      <c r="C463" s="22">
        <v>0.59922176813664996</v>
      </c>
      <c r="D463" s="22">
        <v>61.933109077455498</v>
      </c>
      <c r="E463" s="22">
        <v>6.8181231698552835E-2</v>
      </c>
      <c r="F463" s="22">
        <v>16975116388.584774</v>
      </c>
      <c r="G463" s="23">
        <v>5.8909758089933812E-11</v>
      </c>
      <c r="H463" s="5"/>
      <c r="I463" s="5"/>
      <c r="J463" s="5"/>
    </row>
    <row r="464" spans="1:10" x14ac:dyDescent="0.25">
      <c r="A464" s="22">
        <v>42.4</v>
      </c>
      <c r="B464" s="22">
        <v>5644.9663999999993</v>
      </c>
      <c r="C464" s="22">
        <v>0.60083730537784452</v>
      </c>
      <c r="D464" s="22">
        <v>61.864691060410209</v>
      </c>
      <c r="E464" s="22">
        <v>6.8418017045289048E-2</v>
      </c>
      <c r="F464" s="22">
        <v>16996445214.573334</v>
      </c>
      <c r="G464" s="23">
        <v>5.8835832279950268E-11</v>
      </c>
      <c r="H464" s="5"/>
      <c r="I464" s="5"/>
      <c r="J464" s="5"/>
    </row>
    <row r="465" spans="1:10" x14ac:dyDescent="0.25">
      <c r="A465" s="22">
        <v>42.5</v>
      </c>
      <c r="B465" s="22">
        <v>5671.6250000000009</v>
      </c>
      <c r="C465" s="22">
        <v>0.6024546333849905</v>
      </c>
      <c r="D465" s="22">
        <v>61.796035471541373</v>
      </c>
      <c r="E465" s="22">
        <v>6.8655588868836048E-2</v>
      </c>
      <c r="F465" s="22">
        <v>17017620404.248495</v>
      </c>
      <c r="G465" s="23">
        <v>5.8762622284743601E-11</v>
      </c>
      <c r="H465" s="5"/>
      <c r="I465" s="5"/>
      <c r="J465" s="5"/>
    </row>
    <row r="466" spans="1:10" x14ac:dyDescent="0.25">
      <c r="A466" s="22">
        <v>42.6</v>
      </c>
      <c r="B466" s="22">
        <v>5698.3464000000004</v>
      </c>
      <c r="C466" s="22">
        <v>0.60407376237099242</v>
      </c>
      <c r="D466" s="22">
        <v>61.727141518136087</v>
      </c>
      <c r="E466" s="22">
        <v>6.8893953405286368E-2</v>
      </c>
      <c r="F466" s="22">
        <v>17038641279.510715</v>
      </c>
      <c r="G466" s="23">
        <v>5.8690125790870351E-11</v>
      </c>
      <c r="H466" s="5"/>
      <c r="I466" s="5"/>
      <c r="J466" s="5"/>
    </row>
    <row r="467" spans="1:10" x14ac:dyDescent="0.25">
      <c r="A467" s="22">
        <v>42.7</v>
      </c>
      <c r="B467" s="22">
        <v>5725.1306000000004</v>
      </c>
      <c r="C467" s="22">
        <v>0.60569470262466152</v>
      </c>
      <c r="D467" s="22">
        <v>61.658008401180133</v>
      </c>
      <c r="E467" s="22">
        <v>6.9133116955953255E-2</v>
      </c>
      <c r="F467" s="22">
        <v>17059507158.507202</v>
      </c>
      <c r="G467" s="23">
        <v>5.8618340536369007E-11</v>
      </c>
      <c r="H467" s="5"/>
      <c r="I467" s="5"/>
      <c r="J467" s="5"/>
    </row>
    <row r="468" spans="1:10" x14ac:dyDescent="0.25">
      <c r="A468" s="22">
        <v>42.8</v>
      </c>
      <c r="B468" s="22">
        <v>5751.9775999999993</v>
      </c>
      <c r="C468" s="22">
        <v>0.60731746451155566</v>
      </c>
      <c r="D468" s="22">
        <v>61.588635315291732</v>
      </c>
      <c r="E468" s="22">
        <v>6.9373085888400965E-2</v>
      </c>
      <c r="F468" s="22">
        <v>17080217355.562584</v>
      </c>
      <c r="G468" s="23">
        <v>5.8547264310680797E-11</v>
      </c>
      <c r="H468" s="5"/>
      <c r="I468" s="5"/>
      <c r="J468" s="5"/>
    </row>
    <row r="469" spans="1:10" x14ac:dyDescent="0.25">
      <c r="A469" s="22">
        <v>42.9</v>
      </c>
      <c r="B469" s="22">
        <v>5778.8873999999996</v>
      </c>
      <c r="C469" s="22">
        <v>0.60894205847483007</v>
      </c>
      <c r="D469" s="22">
        <v>61.519021448654406</v>
      </c>
      <c r="E469" s="22">
        <v>6.9613866637325827E-2</v>
      </c>
      <c r="F469" s="22">
        <v>17100771181.149984</v>
      </c>
      <c r="G469" s="23">
        <v>5.8476894954438684E-11</v>
      </c>
      <c r="H469" s="5"/>
      <c r="I469" s="5"/>
      <c r="J469" s="5"/>
    </row>
    <row r="470" spans="1:10" x14ac:dyDescent="0.25">
      <c r="A470" s="22">
        <v>43</v>
      </c>
      <c r="B470" s="22">
        <v>5805.8600000000006</v>
      </c>
      <c r="C470" s="22">
        <v>0.61056849503609922</v>
      </c>
      <c r="D470" s="22">
        <v>61.449165982948863</v>
      </c>
      <c r="E470" s="22">
        <v>6.9855465705543907E-2</v>
      </c>
      <c r="F470" s="22">
        <v>17121167941.839117</v>
      </c>
      <c r="G470" s="23">
        <v>5.8407230359343245E-11</v>
      </c>
      <c r="H470" s="5"/>
      <c r="I470" s="5"/>
      <c r="J470" s="5"/>
    </row>
    <row r="471" spans="1:10" x14ac:dyDescent="0.25">
      <c r="A471" s="22">
        <v>43.1</v>
      </c>
      <c r="B471" s="22">
        <v>5832.8954000000003</v>
      </c>
      <c r="C471" s="22">
        <v>0.61219678479631079</v>
      </c>
      <c r="D471" s="22">
        <v>61.379068093284047</v>
      </c>
      <c r="E471" s="22">
        <v>7.0097889664815227E-2</v>
      </c>
      <c r="F471" s="22">
        <v>17141406940.287912</v>
      </c>
      <c r="G471" s="23">
        <v>5.8338268467897632E-11</v>
      </c>
      <c r="H471" s="5"/>
      <c r="I471" s="5"/>
      <c r="J471" s="5"/>
    </row>
    <row r="472" spans="1:10" x14ac:dyDescent="0.25">
      <c r="A472" s="22">
        <v>43.2</v>
      </c>
      <c r="B472" s="22">
        <v>5859.9936000000016</v>
      </c>
      <c r="C472" s="22">
        <v>0.61382693843663405</v>
      </c>
      <c r="D472" s="22">
        <v>61.308726948127045</v>
      </c>
      <c r="E472" s="22">
        <v>7.0341145157001961E-2</v>
      </c>
      <c r="F472" s="22">
        <v>17161487475.155731</v>
      </c>
      <c r="G472" s="23">
        <v>5.8270007273418212E-11</v>
      </c>
      <c r="H472" s="5"/>
      <c r="I472" s="5"/>
      <c r="J472" s="5"/>
    </row>
    <row r="473" spans="1:10" x14ac:dyDescent="0.25">
      <c r="A473" s="22">
        <v>43.3</v>
      </c>
      <c r="B473" s="22">
        <v>5887.1545999999989</v>
      </c>
      <c r="C473" s="22">
        <v>0.61545896671935774</v>
      </c>
      <c r="D473" s="22">
        <v>61.238141709232167</v>
      </c>
      <c r="E473" s="22">
        <v>7.0585238894878444E-2</v>
      </c>
      <c r="F473" s="22">
        <v>17181408841.105377</v>
      </c>
      <c r="G473" s="23">
        <v>5.820244481974997E-11</v>
      </c>
      <c r="H473" s="5"/>
      <c r="I473" s="5"/>
      <c r="J473" s="5"/>
    </row>
    <row r="474" spans="1:10" x14ac:dyDescent="0.25">
      <c r="A474" s="22">
        <v>43.4</v>
      </c>
      <c r="B474" s="22">
        <v>5914.3784000000005</v>
      </c>
      <c r="C474" s="22">
        <v>0.61709288048880384</v>
      </c>
      <c r="D474" s="22">
        <v>61.167311531568885</v>
      </c>
      <c r="E474" s="22">
        <v>7.0830177663282257E-2</v>
      </c>
      <c r="F474" s="22">
        <v>17201170328.72541</v>
      </c>
      <c r="G474" s="23">
        <v>5.8135579201261185E-11</v>
      </c>
      <c r="H474" s="5"/>
      <c r="I474" s="5"/>
      <c r="J474" s="5"/>
    </row>
    <row r="475" spans="1:10" x14ac:dyDescent="0.25">
      <c r="A475" s="22">
        <v>43.5</v>
      </c>
      <c r="B475" s="22">
        <v>5941.665</v>
      </c>
      <c r="C475" s="22">
        <v>0.618728690672251</v>
      </c>
      <c r="D475" s="22">
        <v>61.096235563248904</v>
      </c>
      <c r="E475" s="22">
        <v>7.1075968319981087E-2</v>
      </c>
      <c r="F475" s="22">
        <v>17220771224.525269</v>
      </c>
      <c r="G475" s="23">
        <v>5.8069408562598648E-11</v>
      </c>
      <c r="H475" s="5"/>
      <c r="I475" s="5"/>
      <c r="J475" s="5"/>
    </row>
    <row r="476" spans="1:10" x14ac:dyDescent="0.25">
      <c r="A476" s="22">
        <v>43.6</v>
      </c>
      <c r="B476" s="22">
        <v>5969.0144</v>
      </c>
      <c r="C476" s="22">
        <v>0.62036640828087453</v>
      </c>
      <c r="D476" s="22">
        <v>61.024912945452037</v>
      </c>
      <c r="E476" s="22">
        <v>7.1322617796866439E-2</v>
      </c>
      <c r="F476" s="22">
        <v>17240210810.854778</v>
      </c>
      <c r="G476" s="23">
        <v>5.8003931098706759E-11</v>
      </c>
      <c r="H476" s="5"/>
      <c r="I476" s="5"/>
      <c r="J476" s="5"/>
    </row>
    <row r="477" spans="1:10" x14ac:dyDescent="0.25">
      <c r="A477" s="22">
        <v>43.7</v>
      </c>
      <c r="B477" s="22">
        <v>5996.4266000000016</v>
      </c>
      <c r="C477" s="22">
        <v>0.62200604441069707</v>
      </c>
      <c r="D477" s="22">
        <v>60.953342812351153</v>
      </c>
      <c r="E477" s="22">
        <v>7.1570133100884448E-2</v>
      </c>
      <c r="F477" s="22">
        <v>17259488365.891209</v>
      </c>
      <c r="G477" s="23">
        <v>5.7939145054625967E-11</v>
      </c>
      <c r="H477" s="5"/>
      <c r="I477" s="5"/>
      <c r="J477" s="5"/>
    </row>
    <row r="478" spans="1:10" x14ac:dyDescent="0.25">
      <c r="A478" s="22">
        <v>43.8</v>
      </c>
      <c r="B478" s="22">
        <v>6023.9016000000001</v>
      </c>
      <c r="C478" s="22">
        <v>0.62364761024355475</v>
      </c>
      <c r="D478" s="22">
        <v>60.881524291035952</v>
      </c>
      <c r="E478" s="22">
        <v>7.1818521315201167E-2</v>
      </c>
      <c r="F478" s="22">
        <v>17278603163.573421</v>
      </c>
      <c r="G478" s="23">
        <v>5.7875048725477414E-11</v>
      </c>
      <c r="H478" s="5"/>
      <c r="I478" s="5"/>
      <c r="J478" s="5"/>
    </row>
    <row r="479" spans="1:10" x14ac:dyDescent="0.25">
      <c r="A479" s="22">
        <v>43.9</v>
      </c>
      <c r="B479" s="22">
        <v>6051.4394000000002</v>
      </c>
      <c r="C479" s="22">
        <v>0.62529111704807705</v>
      </c>
      <c r="D479" s="22">
        <v>60.809456501435704</v>
      </c>
      <c r="E479" s="22">
        <v>7.2067789600247067E-2</v>
      </c>
      <c r="F479" s="22">
        <v>17297554473.569237</v>
      </c>
      <c r="G479" s="23">
        <v>5.7811640456343455E-11</v>
      </c>
      <c r="H479" s="5"/>
      <c r="I479" s="5"/>
      <c r="J479" s="5"/>
    </row>
    <row r="480" spans="1:10" x14ac:dyDescent="0.25">
      <c r="A480" s="22">
        <v>44</v>
      </c>
      <c r="B480" s="22">
        <v>6079.04</v>
      </c>
      <c r="C480" s="22">
        <v>0.62693657618067966</v>
      </c>
      <c r="D480" s="22">
        <v>60.737138556240858</v>
      </c>
      <c r="E480" s="22">
        <v>7.23179451948468E-2</v>
      </c>
      <c r="F480" s="22">
        <v>17316341561.226143</v>
      </c>
      <c r="G480" s="23">
        <v>5.7748918642211838E-11</v>
      </c>
      <c r="H480" s="5"/>
      <c r="I480" s="5"/>
      <c r="J480" s="5"/>
    </row>
    <row r="481" spans="1:10" x14ac:dyDescent="0.25">
      <c r="A481" s="22">
        <v>44.1</v>
      </c>
      <c r="B481" s="22">
        <v>6106.7034000000012</v>
      </c>
      <c r="C481" s="22">
        <v>0.62858399908657292</v>
      </c>
      <c r="D481" s="22">
        <v>60.664569560823558</v>
      </c>
      <c r="E481" s="22">
        <v>7.256899541729922E-2</v>
      </c>
      <c r="F481" s="22">
        <v>17334963687.538094</v>
      </c>
      <c r="G481" s="23">
        <v>5.7686881727873967E-11</v>
      </c>
      <c r="H481" s="5"/>
      <c r="I481" s="5"/>
      <c r="J481" s="5"/>
    </row>
    <row r="482" spans="1:10" x14ac:dyDescent="0.25">
      <c r="A482" s="22">
        <v>44.2</v>
      </c>
      <c r="B482" s="22">
        <v>6134.4296000000013</v>
      </c>
      <c r="C482" s="22">
        <v>0.6302333973007852</v>
      </c>
      <c r="D482" s="22">
        <v>60.591748613156888</v>
      </c>
      <c r="E482" s="22">
        <v>7.2820947666670577E-2</v>
      </c>
      <c r="F482" s="22">
        <v>17353420109.065399</v>
      </c>
      <c r="G482" s="23">
        <v>5.7625528207987175E-11</v>
      </c>
      <c r="H482" s="5"/>
      <c r="I482" s="5"/>
      <c r="J482" s="5"/>
    </row>
    <row r="483" spans="1:10" x14ac:dyDescent="0.25">
      <c r="A483" s="22">
        <v>44.3</v>
      </c>
      <c r="B483" s="22">
        <v>6162.2186000000002</v>
      </c>
      <c r="C483" s="22">
        <v>0.6318847824491991</v>
      </c>
      <c r="D483" s="22">
        <v>60.518674803733099</v>
      </c>
      <c r="E483" s="22">
        <v>7.3073809423789271E-2</v>
      </c>
      <c r="F483" s="22">
        <v>17371710077.930328</v>
      </c>
      <c r="G483" s="23">
        <v>5.7564856626892332E-11</v>
      </c>
      <c r="H483" s="5"/>
      <c r="I483" s="5"/>
      <c r="J483" s="5"/>
    </row>
    <row r="484" spans="1:10" x14ac:dyDescent="0.25">
      <c r="A484" s="22">
        <v>44.4</v>
      </c>
      <c r="B484" s="22">
        <v>6190.0703999999996</v>
      </c>
      <c r="C484" s="22">
        <v>0.63353816624960635</v>
      </c>
      <c r="D484" s="22">
        <v>60.445347215480538</v>
      </c>
      <c r="E484" s="22">
        <v>7.3327588252560361E-2</v>
      </c>
      <c r="F484" s="22">
        <v>17389832841.740513</v>
      </c>
      <c r="G484" s="23">
        <v>5.7504865578679826E-11</v>
      </c>
      <c r="H484" s="5"/>
      <c r="I484" s="5"/>
      <c r="J484" s="5"/>
    </row>
    <row r="485" spans="1:10" x14ac:dyDescent="0.25">
      <c r="A485" s="22">
        <v>44.5</v>
      </c>
      <c r="B485" s="22">
        <v>6217.9850000000006</v>
      </c>
      <c r="C485" s="22">
        <v>0.63519356051277565</v>
      </c>
      <c r="D485" s="22">
        <v>60.371764923679351</v>
      </c>
      <c r="E485" s="22">
        <v>7.3582291801187694E-2</v>
      </c>
      <c r="F485" s="22">
        <v>17407787643.539055</v>
      </c>
      <c r="G485" s="23">
        <v>5.7445553707173842E-11</v>
      </c>
      <c r="H485" s="5"/>
      <c r="I485" s="5"/>
      <c r="J485" s="5"/>
    </row>
    <row r="486" spans="1:10" x14ac:dyDescent="0.25">
      <c r="A486" s="22">
        <v>44.6</v>
      </c>
      <c r="B486" s="22">
        <v>6245.9624000000003</v>
      </c>
      <c r="C486" s="22">
        <v>0.63685097714353567</v>
      </c>
      <c r="D486" s="22">
        <v>60.297926995876068</v>
      </c>
      <c r="E486" s="22">
        <v>7.3837927803282355E-2</v>
      </c>
      <c r="F486" s="22">
        <v>17425573721.785881</v>
      </c>
      <c r="G486" s="23">
        <v>5.7386919705821533E-11</v>
      </c>
      <c r="H486" s="5"/>
      <c r="I486" s="5"/>
      <c r="J486" s="5"/>
    </row>
    <row r="487" spans="1:10" x14ac:dyDescent="0.25">
      <c r="A487" s="22">
        <v>44.7</v>
      </c>
      <c r="B487" s="22">
        <v>6274.0026000000007</v>
      </c>
      <c r="C487" s="22">
        <v>0.63851042814187742</v>
      </c>
      <c r="D487" s="22">
        <v>60.223832491796799</v>
      </c>
      <c r="E487" s="22">
        <v>7.4094504079269541E-2</v>
      </c>
      <c r="F487" s="22">
        <v>17443190310.273033</v>
      </c>
      <c r="G487" s="23">
        <v>5.7328962317808206E-11</v>
      </c>
      <c r="H487" s="5"/>
      <c r="I487" s="5"/>
      <c r="J487" s="5"/>
    </row>
    <row r="488" spans="1:10" x14ac:dyDescent="0.25">
      <c r="A488" s="22">
        <v>44.8</v>
      </c>
      <c r="B488" s="22">
        <v>6302.1055999999999</v>
      </c>
      <c r="C488" s="22">
        <v>0.64017192560406899</v>
      </c>
      <c r="D488" s="22">
        <v>60.149480463259202</v>
      </c>
      <c r="E488" s="22">
        <v>7.4352028537596482E-2</v>
      </c>
      <c r="F488" s="22">
        <v>17460636638.091743</v>
      </c>
      <c r="G488" s="23">
        <v>5.727168033600916E-11</v>
      </c>
      <c r="H488" s="5"/>
      <c r="I488" s="5"/>
      <c r="J488" s="5"/>
    </row>
    <row r="489" spans="1:10" x14ac:dyDescent="0.25">
      <c r="A489" s="22">
        <v>44.9</v>
      </c>
      <c r="B489" s="22">
        <v>6330.2713999999996</v>
      </c>
      <c r="C489" s="22">
        <v>0.6418354817237909</v>
      </c>
      <c r="D489" s="22">
        <v>60.074869954083127</v>
      </c>
      <c r="E489" s="22">
        <v>7.4610509176075368E-2</v>
      </c>
      <c r="F489" s="22">
        <v>17477911929.572414</v>
      </c>
      <c r="G489" s="23">
        <v>5.7215072603038593E-11</v>
      </c>
      <c r="H489" s="5"/>
      <c r="I489" s="5"/>
      <c r="J489" s="5"/>
    </row>
    <row r="490" spans="1:10" x14ac:dyDescent="0.25">
      <c r="A490" s="22">
        <v>45</v>
      </c>
      <c r="B490" s="22">
        <v>6358.5000000000009</v>
      </c>
      <c r="C490" s="22">
        <v>0.64350110879328437</v>
      </c>
      <c r="D490" s="22">
        <v>60</v>
      </c>
      <c r="E490" s="22">
        <v>7.48699540831268E-2</v>
      </c>
      <c r="F490" s="22">
        <v>17495015404.252762</v>
      </c>
      <c r="G490" s="23">
        <v>5.7159138011214087E-11</v>
      </c>
      <c r="H490" s="5"/>
      <c r="I490" s="5"/>
      <c r="J490" s="5"/>
    </row>
    <row r="491" spans="1:10" x14ac:dyDescent="0.25">
      <c r="A491" s="22">
        <v>45.1</v>
      </c>
      <c r="B491" s="22">
        <v>6386.7914000000001</v>
      </c>
      <c r="C491" s="22">
        <v>0.64516881920452074</v>
      </c>
      <c r="D491" s="22">
        <v>59.924869628560728</v>
      </c>
      <c r="E491" s="22">
        <v>7.5130371439271926E-2</v>
      </c>
      <c r="F491" s="22">
        <v>17511946276.792561</v>
      </c>
      <c r="G491" s="23">
        <v>5.7103875502703814E-11</v>
      </c>
      <c r="H491" s="5"/>
      <c r="I491" s="5"/>
      <c r="J491" s="5"/>
    </row>
    <row r="492" spans="1:10" x14ac:dyDescent="0.25">
      <c r="A492" s="22">
        <v>45.2</v>
      </c>
      <c r="B492" s="22">
        <v>6415.1456000000017</v>
      </c>
      <c r="C492" s="22">
        <v>0.64683862545038495</v>
      </c>
      <c r="D492" s="22">
        <v>59.849477859042338</v>
      </c>
      <c r="E492" s="22">
        <v>7.5391769518390106E-2</v>
      </c>
      <c r="F492" s="22">
        <v>17528703756.948505</v>
      </c>
      <c r="G492" s="23">
        <v>5.7049284069484761E-11</v>
      </c>
      <c r="H492" s="5"/>
      <c r="I492" s="5"/>
      <c r="J492" s="5"/>
    </row>
    <row r="493" spans="1:10" x14ac:dyDescent="0.25">
      <c r="A493" s="22">
        <v>45.3</v>
      </c>
      <c r="B493" s="22">
        <v>6443.5625999999993</v>
      </c>
      <c r="C493" s="22">
        <v>0.64851054012588005</v>
      </c>
      <c r="D493" s="22">
        <v>59.773823702353191</v>
      </c>
      <c r="E493" s="22">
        <v>7.5654156689147101E-2</v>
      </c>
      <c r="F493" s="22">
        <v>17545287049.514057</v>
      </c>
      <c r="G493" s="23">
        <v>5.6995362753423659E-11</v>
      </c>
      <c r="H493" s="5"/>
      <c r="I493" s="5"/>
      <c r="J493" s="5"/>
    </row>
    <row r="494" spans="1:10" x14ac:dyDescent="0.25">
      <c r="A494" s="22">
        <v>45.4</v>
      </c>
      <c r="B494" s="22">
        <v>6472.0424000000003</v>
      </c>
      <c r="C494" s="22">
        <v>0.65018457592934797</v>
      </c>
      <c r="D494" s="22">
        <v>59.697906160936668</v>
      </c>
      <c r="E494" s="22">
        <v>7.5917541416522738E-2</v>
      </c>
      <c r="F494" s="22">
        <v>17561695354.241711</v>
      </c>
      <c r="G494" s="23">
        <v>5.6942110646422755E-11</v>
      </c>
      <c r="H494" s="5"/>
      <c r="I494" s="5"/>
      <c r="J494" s="5"/>
    </row>
    <row r="495" spans="1:10" x14ac:dyDescent="0.25">
      <c r="A495" s="22">
        <v>45.5</v>
      </c>
      <c r="B495" s="22">
        <v>6500.585</v>
      </c>
      <c r="C495" s="22">
        <v>0.65186074566370944</v>
      </c>
      <c r="D495" s="22">
        <v>59.621724228673557</v>
      </c>
      <c r="E495" s="22">
        <v>7.6181932263111207E-2</v>
      </c>
      <c r="F495" s="22">
        <v>17577927865.823227</v>
      </c>
      <c r="G495" s="23">
        <v>5.6889526890385097E-11</v>
      </c>
      <c r="H495" s="5"/>
      <c r="I495" s="5"/>
      <c r="J495" s="5"/>
    </row>
    <row r="496" spans="1:10" x14ac:dyDescent="0.25">
      <c r="A496" s="22">
        <v>45.6</v>
      </c>
      <c r="B496" s="22">
        <v>6529.1904000000004</v>
      </c>
      <c r="C496" s="22">
        <v>0.65353906223772251</v>
      </c>
      <c r="D496" s="22">
        <v>59.545276890782866</v>
      </c>
      <c r="E496" s="22">
        <v>7.6447337890691358E-2</v>
      </c>
      <c r="F496" s="22">
        <v>17593983773.812695</v>
      </c>
      <c r="G496" s="23">
        <v>5.6837610677373923E-11</v>
      </c>
      <c r="H496" s="5"/>
      <c r="I496" s="5"/>
      <c r="J496" s="5"/>
    </row>
    <row r="497" spans="1:10" x14ac:dyDescent="0.25">
      <c r="A497" s="22">
        <v>45.7</v>
      </c>
      <c r="B497" s="22">
        <v>6557.8586000000014</v>
      </c>
      <c r="C497" s="22">
        <v>0.65521953866726179</v>
      </c>
      <c r="D497" s="22">
        <v>59.468563123721083</v>
      </c>
      <c r="E497" s="22">
        <v>7.6713767061782789E-2</v>
      </c>
      <c r="F497" s="22">
        <v>17609862262.558609</v>
      </c>
      <c r="G497" s="23">
        <v>5.6786361249750395E-11</v>
      </c>
      <c r="H497" s="5"/>
      <c r="I497" s="5"/>
      <c r="J497" s="5"/>
    </row>
    <row r="498" spans="1:10" x14ac:dyDescent="0.25">
      <c r="A498" s="22">
        <v>45.8</v>
      </c>
      <c r="B498" s="22">
        <v>6586.5895999999984</v>
      </c>
      <c r="C498" s="22">
        <v>0.65690218807661471</v>
      </c>
      <c r="D498" s="22">
        <v>59.391581895080051</v>
      </c>
      <c r="E498" s="22">
        <v>7.6981228641031407E-2</v>
      </c>
      <c r="F498" s="22">
        <v>17625562511.180786</v>
      </c>
      <c r="G498" s="23">
        <v>5.6735777900174786E-11</v>
      </c>
      <c r="H498" s="5"/>
      <c r="I498" s="5"/>
      <c r="J498" s="5"/>
    </row>
    <row r="499" spans="1:10" x14ac:dyDescent="0.25">
      <c r="A499" s="22">
        <v>45.9</v>
      </c>
      <c r="B499" s="22">
        <v>6615.3833999999997</v>
      </c>
      <c r="C499" s="22">
        <v>0.65858702369980149</v>
      </c>
      <c r="D499" s="22">
        <v>59.314332163483051</v>
      </c>
      <c r="E499" s="22">
        <v>7.7249731596999993E-2</v>
      </c>
      <c r="F499" s="22">
        <v>17641083693.460022</v>
      </c>
      <c r="G499" s="23">
        <v>5.6685859971897548E-11</v>
      </c>
      <c r="H499" s="5"/>
      <c r="I499" s="5"/>
      <c r="J499" s="5"/>
    </row>
    <row r="500" spans="1:10" x14ac:dyDescent="0.25">
      <c r="A500" s="22">
        <v>46</v>
      </c>
      <c r="B500" s="22">
        <v>6644.24</v>
      </c>
      <c r="C500" s="22">
        <v>0.66027405888191137</v>
      </c>
      <c r="D500" s="22">
        <v>59.236812878479547</v>
      </c>
      <c r="E500" s="22">
        <v>7.7519285003504024E-2</v>
      </c>
      <c r="F500" s="22">
        <v>17656424977.837856</v>
      </c>
      <c r="G500" s="23">
        <v>5.6636606858703764E-11</v>
      </c>
      <c r="H500" s="5"/>
      <c r="I500" s="5"/>
      <c r="J500" s="5"/>
    </row>
    <row r="501" spans="1:10" x14ac:dyDescent="0.25">
      <c r="A501" s="22">
        <v>46.1</v>
      </c>
      <c r="B501" s="22">
        <v>6673.1594000000014</v>
      </c>
      <c r="C501" s="22">
        <v>0.66196330708046291</v>
      </c>
      <c r="D501" s="22">
        <v>59.159022980438074</v>
      </c>
      <c r="E501" s="22">
        <v>7.7789898041473293E-2</v>
      </c>
      <c r="F501" s="22">
        <v>17671585527.302036</v>
      </c>
      <c r="G501" s="23">
        <v>5.6588018005233987E-11</v>
      </c>
      <c r="H501" s="5"/>
      <c r="I501" s="5"/>
      <c r="J501" s="5"/>
    </row>
    <row r="502" spans="1:10" x14ac:dyDescent="0.25">
      <c r="A502" s="22">
        <v>46.2</v>
      </c>
      <c r="B502" s="22">
        <v>6702.1416000000008</v>
      </c>
      <c r="C502" s="22">
        <v>0.66365478186678362</v>
      </c>
      <c r="D502" s="22">
        <v>59.080961400437623</v>
      </c>
      <c r="E502" s="22">
        <v>7.8061580000451158E-2</v>
      </c>
      <c r="F502" s="22">
        <v>17686564499.360897</v>
      </c>
      <c r="G502" s="23">
        <v>5.6540092907027531E-11</v>
      </c>
      <c r="H502" s="5"/>
      <c r="I502" s="5"/>
      <c r="J502" s="5"/>
    </row>
    <row r="503" spans="1:10" x14ac:dyDescent="0.25">
      <c r="A503" s="22">
        <v>46.3</v>
      </c>
      <c r="B503" s="22">
        <v>6731.1866</v>
      </c>
      <c r="C503" s="22">
        <v>0.6653484969274126</v>
      </c>
      <c r="D503" s="22">
        <v>59.002627060157245</v>
      </c>
      <c r="E503" s="22">
        <v>7.8334340280378001E-2</v>
      </c>
      <c r="F503" s="22">
        <v>17701361045.959251</v>
      </c>
      <c r="G503" s="23">
        <v>5.6492831110762149E-11</v>
      </c>
      <c r="H503" s="5"/>
      <c r="I503" s="5"/>
      <c r="J503" s="5"/>
    </row>
    <row r="504" spans="1:10" x14ac:dyDescent="0.25">
      <c r="A504" s="22">
        <v>46.4</v>
      </c>
      <c r="B504" s="22">
        <v>6760.2943999999998</v>
      </c>
      <c r="C504" s="22">
        <v>0.66704446606552359</v>
      </c>
      <c r="D504" s="22">
        <v>58.924018871763998</v>
      </c>
      <c r="E504" s="22">
        <v>7.8608188393246792E-2</v>
      </c>
      <c r="F504" s="22">
        <v>17715974313.429661</v>
      </c>
      <c r="G504" s="23">
        <v>5.6446232214388922E-11</v>
      </c>
      <c r="H504" s="5"/>
      <c r="I504" s="5"/>
      <c r="J504" s="5"/>
    </row>
    <row r="505" spans="1:10" x14ac:dyDescent="0.25">
      <c r="A505" s="22">
        <v>46.5</v>
      </c>
      <c r="B505" s="22">
        <v>6789.4650000000011</v>
      </c>
      <c r="C505" s="22">
        <v>0.66874270320237172</v>
      </c>
      <c r="D505" s="22">
        <v>58.845135737799097</v>
      </c>
      <c r="E505" s="22">
        <v>7.8883133964900765E-2</v>
      </c>
      <c r="F505" s="22">
        <v>17730403442.418045</v>
      </c>
      <c r="G505" s="23">
        <v>5.6400295867357973E-11</v>
      </c>
      <c r="H505" s="5"/>
      <c r="I505" s="5"/>
      <c r="J505" s="5"/>
    </row>
    <row r="506" spans="1:10" x14ac:dyDescent="0.25">
      <c r="A506" s="22">
        <v>46.6</v>
      </c>
      <c r="B506" s="22">
        <v>6818.6984000000011</v>
      </c>
      <c r="C506" s="22">
        <v>0.67044322237876297</v>
      </c>
      <c r="D506" s="22">
        <v>58.765976551062266</v>
      </c>
      <c r="E506" s="22">
        <v>7.9159186736831089E-2</v>
      </c>
      <c r="F506" s="22">
        <v>17744647567.815975</v>
      </c>
      <c r="G506" s="23">
        <v>5.6355021770831416E-11</v>
      </c>
      <c r="H506" s="5"/>
      <c r="I506" s="5"/>
      <c r="J506" s="5"/>
    </row>
    <row r="507" spans="1:10" x14ac:dyDescent="0.25">
      <c r="A507" s="22">
        <v>46.7</v>
      </c>
      <c r="B507" s="22">
        <v>6847.9946000000009</v>
      </c>
      <c r="C507" s="22">
        <v>0.67214603775654602</v>
      </c>
      <c r="D507" s="22">
        <v>58.686540194494341</v>
      </c>
      <c r="E507" s="22">
        <v>7.9436356567924804E-2</v>
      </c>
      <c r="F507" s="22">
        <v>17758705818.710903</v>
      </c>
      <c r="G507" s="23">
        <v>5.6310409677848334E-11</v>
      </c>
      <c r="H507" s="5"/>
      <c r="I507" s="5"/>
      <c r="J507" s="5"/>
    </row>
    <row r="508" spans="1:10" x14ac:dyDescent="0.25">
      <c r="A508" s="22">
        <v>46.8</v>
      </c>
      <c r="B508" s="22">
        <v>6877.3535999999995</v>
      </c>
      <c r="C508" s="22">
        <v>0.67385116362012942</v>
      </c>
      <c r="D508" s="22">
        <v>58.60682554105793</v>
      </c>
      <c r="E508" s="22">
        <v>7.9714653436411709E-2</v>
      </c>
      <c r="F508" s="22">
        <v>17772577318.298546</v>
      </c>
      <c r="G508" s="23">
        <v>5.6266459393619046E-11</v>
      </c>
      <c r="H508" s="5"/>
      <c r="I508" s="5"/>
      <c r="J508" s="5"/>
    </row>
    <row r="509" spans="1:10" x14ac:dyDescent="0.25">
      <c r="A509" s="22">
        <v>46.9</v>
      </c>
      <c r="B509" s="22">
        <v>6906.7753999999995</v>
      </c>
      <c r="C509" s="22">
        <v>0.67555861437802112</v>
      </c>
      <c r="D509" s="22">
        <v>58.526831453616211</v>
      </c>
      <c r="E509" s="22">
        <v>7.9994087441718875E-2</v>
      </c>
      <c r="F509" s="22">
        <v>17786261183.823158</v>
      </c>
      <c r="G509" s="23">
        <v>5.6223170775739726E-11</v>
      </c>
      <c r="H509" s="5"/>
      <c r="I509" s="5"/>
      <c r="J509" s="5"/>
    </row>
    <row r="510" spans="1:10" x14ac:dyDescent="0.25">
      <c r="A510" s="22">
        <v>47</v>
      </c>
      <c r="B510" s="22">
        <v>6936.26</v>
      </c>
      <c r="C510" s="22">
        <v>0.67726840456439497</v>
      </c>
      <c r="D510" s="22">
        <v>58.446556784809829</v>
      </c>
      <c r="E510" s="22">
        <v>8.027466880638201E-2</v>
      </c>
      <c r="F510" s="22">
        <v>17799756526.512157</v>
      </c>
      <c r="G510" s="23">
        <v>5.6180543734434379E-11</v>
      </c>
      <c r="H510" s="5"/>
      <c r="I510" s="5"/>
      <c r="J510" s="5"/>
    </row>
    <row r="511" spans="1:10" x14ac:dyDescent="0.25">
      <c r="A511" s="22">
        <v>47.1</v>
      </c>
      <c r="B511" s="22">
        <v>6965.8074000000006</v>
      </c>
      <c r="C511" s="22">
        <v>0.67898054884068004</v>
      </c>
      <c r="D511" s="22">
        <v>58.366000376931773</v>
      </c>
      <c r="E511" s="22">
        <v>8.0556407878056291E-2</v>
      </c>
      <c r="F511" s="22">
        <v>17813062451.495987</v>
      </c>
      <c r="G511" s="23">
        <v>5.6138578232852789E-11</v>
      </c>
      <c r="H511" s="5"/>
      <c r="I511" s="5"/>
      <c r="J511" s="5"/>
    </row>
    <row r="512" spans="1:10" x14ac:dyDescent="0.25">
      <c r="A512" s="22">
        <v>47.2</v>
      </c>
      <c r="B512" s="22">
        <v>6995.4176000000016</v>
      </c>
      <c r="C512" s="22">
        <v>0.68069506199717755</v>
      </c>
      <c r="D512" s="22">
        <v>58.285161061800281</v>
      </c>
      <c r="E512" s="22">
        <v>8.0839315131491674E-2</v>
      </c>
      <c r="F512" s="22">
        <v>17826178057.743393</v>
      </c>
      <c r="G512" s="23">
        <v>5.6097274287329175E-11</v>
      </c>
      <c r="H512" s="5"/>
      <c r="I512" s="5"/>
      <c r="J512" s="5"/>
    </row>
    <row r="513" spans="1:10" x14ac:dyDescent="0.25">
      <c r="A513" s="22">
        <v>47.3</v>
      </c>
      <c r="B513" s="22">
        <v>7025.0905999999995</v>
      </c>
      <c r="C513" s="22">
        <v>0.68241195895470252</v>
      </c>
      <c r="D513" s="22">
        <v>58.204037660629702</v>
      </c>
      <c r="E513" s="22">
        <v>8.1123401170579257E-2</v>
      </c>
      <c r="F513" s="22">
        <v>17839102437.988503</v>
      </c>
      <c r="G513" s="23">
        <v>5.6056631967676385E-11</v>
      </c>
      <c r="H513" s="5"/>
      <c r="I513" s="5"/>
      <c r="J513" s="5"/>
    </row>
    <row r="514" spans="1:10" x14ac:dyDescent="0.25">
      <c r="A514" s="22">
        <v>47.4</v>
      </c>
      <c r="B514" s="22">
        <v>7054.8264000000008</v>
      </c>
      <c r="C514" s="22">
        <v>0.68413125476625414</v>
      </c>
      <c r="D514" s="22">
        <v>58.122628983899205</v>
      </c>
      <c r="E514" s="22">
        <v>8.140867673049712E-2</v>
      </c>
      <c r="F514" s="22">
        <v>17851834678.643909</v>
      </c>
      <c r="G514" s="23">
        <v>5.6016651397533758E-11</v>
      </c>
      <c r="H514" s="5"/>
      <c r="I514" s="5"/>
      <c r="J514" s="5"/>
    </row>
    <row r="515" spans="1:10" x14ac:dyDescent="0.25">
      <c r="A515" s="22">
        <v>47.5</v>
      </c>
      <c r="B515" s="22">
        <v>7084.625</v>
      </c>
      <c r="C515" s="22">
        <v>0.6858529646187107</v>
      </c>
      <c r="D515" s="22">
        <v>58.040933831219498</v>
      </c>
      <c r="E515" s="22">
        <v>8.169515267970695E-2</v>
      </c>
      <c r="F515" s="22">
        <v>17864373859.754383</v>
      </c>
      <c r="G515" s="23">
        <v>5.5977332754597253E-11</v>
      </c>
      <c r="H515" s="5"/>
      <c r="I515" s="5"/>
      <c r="J515" s="5"/>
    </row>
    <row r="516" spans="1:10" x14ac:dyDescent="0.25">
      <c r="A516" s="22">
        <v>47.6</v>
      </c>
      <c r="B516" s="22">
        <v>7114.4863999999998</v>
      </c>
      <c r="C516" s="22">
        <v>0.68757710383455495</v>
      </c>
      <c r="D516" s="22">
        <v>57.958950991197206</v>
      </c>
      <c r="E516" s="22">
        <v>8.1982840022291725E-2</v>
      </c>
      <c r="F516" s="22">
        <v>17876719054.883888</v>
      </c>
      <c r="G516" s="23">
        <v>5.5938676271068975E-11</v>
      </c>
      <c r="H516" s="5"/>
      <c r="I516" s="5"/>
      <c r="J516" s="5"/>
    </row>
    <row r="517" spans="1:10" x14ac:dyDescent="0.25">
      <c r="A517" s="22">
        <v>47.7</v>
      </c>
      <c r="B517" s="22">
        <v>7144.4106000000011</v>
      </c>
      <c r="C517" s="22">
        <v>0.68930368787362561</v>
      </c>
      <c r="D517" s="22">
        <v>57.876679241297175</v>
      </c>
      <c r="E517" s="22">
        <v>8.22717499000305E-2</v>
      </c>
      <c r="F517" s="22">
        <v>17888869331.068581</v>
      </c>
      <c r="G517" s="23">
        <v>5.5900682233909838E-11</v>
      </c>
      <c r="H517" s="5"/>
      <c r="I517" s="5"/>
      <c r="J517" s="5"/>
    </row>
    <row r="518" spans="1:10" x14ac:dyDescent="0.25">
      <c r="A518" s="22">
        <v>47.8</v>
      </c>
      <c r="B518" s="22">
        <v>7174.3975999999984</v>
      </c>
      <c r="C518" s="22">
        <v>0.69103273233490015</v>
      </c>
      <c r="D518" s="22">
        <v>57.794117347702439</v>
      </c>
      <c r="E518" s="22">
        <v>8.2561893594736091E-2</v>
      </c>
      <c r="F518" s="22">
        <v>17900823748.720657</v>
      </c>
      <c r="G518" s="23">
        <v>5.586335098525666E-11</v>
      </c>
      <c r="H518" s="5"/>
      <c r="I518" s="5"/>
      <c r="J518" s="5"/>
    </row>
    <row r="519" spans="1:10" x14ac:dyDescent="0.25">
      <c r="A519" s="22">
        <v>47.9</v>
      </c>
      <c r="B519" s="22">
        <v>7204.4474</v>
      </c>
      <c r="C519" s="22">
        <v>0.69276425295830457</v>
      </c>
      <c r="D519" s="22">
        <v>57.711264065171889</v>
      </c>
      <c r="E519" s="22">
        <v>8.2853282530550132E-2</v>
      </c>
      <c r="F519" s="22">
        <v>17912581361.550381</v>
      </c>
      <c r="G519" s="23">
        <v>5.5826682922792733E-11</v>
      </c>
      <c r="H519" s="5"/>
      <c r="I519" s="5"/>
      <c r="J519" s="5"/>
    </row>
    <row r="520" spans="1:10" x14ac:dyDescent="0.25">
      <c r="A520" s="22">
        <v>48</v>
      </c>
      <c r="B520" s="22">
        <v>7234.5599999999995</v>
      </c>
      <c r="C520" s="22">
        <v>0.69449826562655603</v>
      </c>
      <c r="D520" s="22">
        <v>57.628118136895637</v>
      </c>
      <c r="E520" s="22">
        <v>8.3145928276252334E-2</v>
      </c>
      <c r="F520" s="22">
        <v>17924141216.49366</v>
      </c>
      <c r="G520" s="23">
        <v>5.5790678500111769E-11</v>
      </c>
      <c r="H520" s="5"/>
      <c r="I520" s="5"/>
      <c r="J520" s="5"/>
    </row>
    <row r="521" spans="1:10" x14ac:dyDescent="0.25">
      <c r="A521" s="22">
        <v>48.1</v>
      </c>
      <c r="B521" s="22">
        <v>7264.7354000000014</v>
      </c>
      <c r="C521" s="22">
        <v>0.69623478636703295</v>
      </c>
      <c r="D521" s="22">
        <v>57.544678294347946</v>
      </c>
      <c r="E521" s="22">
        <v>8.3439842547690546E-2</v>
      </c>
      <c r="F521" s="22">
        <v>17935502353.62257</v>
      </c>
      <c r="G521" s="23">
        <v>5.5755338227146026E-11</v>
      </c>
      <c r="H521" s="5"/>
      <c r="I521" s="5"/>
      <c r="J521" s="5"/>
    </row>
    <row r="522" spans="1:10" x14ac:dyDescent="0.25">
      <c r="A522" s="22">
        <v>48.2</v>
      </c>
      <c r="B522" s="22">
        <v>7294.9736000000012</v>
      </c>
      <c r="C522" s="22">
        <v>0.69797383135368052</v>
      </c>
      <c r="D522" s="22">
        <v>57.460943257137707</v>
      </c>
      <c r="E522" s="22">
        <v>8.3735037210239227E-2</v>
      </c>
      <c r="F522" s="22">
        <v>17946663806.058956</v>
      </c>
      <c r="G522" s="23">
        <v>5.5720662670595688E-11</v>
      </c>
      <c r="H522" s="5"/>
      <c r="I522" s="5"/>
      <c r="J522" s="5"/>
    </row>
    <row r="523" spans="1:10" x14ac:dyDescent="0.25">
      <c r="A523" s="22">
        <v>48.3</v>
      </c>
      <c r="B523" s="22">
        <v>7325.2745999999997</v>
      </c>
      <c r="C523" s="22">
        <v>0.69971541690894368</v>
      </c>
      <c r="D523" s="22">
        <v>57.376911732856442</v>
      </c>
      <c r="E523" s="22">
        <v>8.4031524281265035E-2</v>
      </c>
      <c r="F523" s="22">
        <v>17957624599.895962</v>
      </c>
      <c r="G523" s="23">
        <v>5.5686652454344852E-11</v>
      </c>
      <c r="H523" s="5"/>
      <c r="I523" s="5"/>
      <c r="J523" s="5"/>
    </row>
    <row r="524" spans="1:10" x14ac:dyDescent="0.25">
      <c r="A524" s="22">
        <v>48.4</v>
      </c>
      <c r="B524" s="22">
        <v>7355.6383999999998</v>
      </c>
      <c r="C524" s="22">
        <v>0.70145955950573757</v>
      </c>
      <c r="D524" s="22">
        <v>57.292582416923743</v>
      </c>
      <c r="E524" s="22">
        <v>8.4329315932698989E-2</v>
      </c>
      <c r="F524" s="22">
        <v>17968383754.106228</v>
      </c>
      <c r="G524" s="23">
        <v>5.5653308259930437E-11</v>
      </c>
      <c r="H524" s="5"/>
      <c r="I524" s="5"/>
      <c r="J524" s="5"/>
    </row>
    <row r="525" spans="1:10" x14ac:dyDescent="0.25">
      <c r="A525" s="22">
        <v>48.5</v>
      </c>
      <c r="B525" s="22">
        <v>7386.0649999999996</v>
      </c>
      <c r="C525" s="22">
        <v>0.70320627576944716</v>
      </c>
      <c r="D525" s="22">
        <v>57.207953992430113</v>
      </c>
      <c r="E525" s="22">
        <v>8.462842449362995E-2</v>
      </c>
      <c r="F525" s="22">
        <v>17978940280.455376</v>
      </c>
      <c r="G525" s="23">
        <v>5.5620630827006213E-11</v>
      </c>
      <c r="H525" s="5"/>
      <c r="I525" s="5"/>
      <c r="J525" s="5"/>
    </row>
    <row r="526" spans="1:10" x14ac:dyDescent="0.25">
      <c r="A526" s="22">
        <v>48.6</v>
      </c>
      <c r="B526" s="22">
        <v>7416.5544000000009</v>
      </c>
      <c r="C526" s="22">
        <v>0.70495558247996382</v>
      </c>
      <c r="D526" s="22">
        <v>57.123025129977151</v>
      </c>
      <c r="E526" s="22">
        <v>8.4928862452962051E-2</v>
      </c>
      <c r="F526" s="22">
        <v>17989293183.411934</v>
      </c>
      <c r="G526" s="23">
        <v>5.5588620953829787E-11</v>
      </c>
      <c r="H526" s="5"/>
      <c r="I526" s="5"/>
      <c r="J526" s="5"/>
    </row>
    <row r="527" spans="1:10" x14ac:dyDescent="0.25">
      <c r="A527" s="22">
        <v>48.7</v>
      </c>
      <c r="B527" s="22">
        <v>7447.106600000001</v>
      </c>
      <c r="C527" s="22">
        <v>0.70670749657375487</v>
      </c>
      <c r="D527" s="22">
        <v>57.037794487515029</v>
      </c>
      <c r="E527" s="22">
        <v>8.5230642462121864E-2</v>
      </c>
      <c r="F527" s="22">
        <v>17999441460.056873</v>
      </c>
      <c r="G527" s="23">
        <v>5.5557279497762828E-11</v>
      </c>
      <c r="H527" s="5"/>
      <c r="I527" s="5"/>
      <c r="J527" s="5"/>
    </row>
    <row r="528" spans="1:10" x14ac:dyDescent="0.25">
      <c r="A528" s="22">
        <v>48.8</v>
      </c>
      <c r="B528" s="22">
        <v>7477.7215999999999</v>
      </c>
      <c r="C528" s="22">
        <v>0.7084620351459695</v>
      </c>
      <c r="D528" s="22">
        <v>56.952260710177256</v>
      </c>
      <c r="E528" s="22">
        <v>8.5533777337772676E-2</v>
      </c>
      <c r="F528" s="22">
        <v>18009384100.00206</v>
      </c>
      <c r="G528" s="23">
        <v>5.5526607375756158E-11</v>
      </c>
      <c r="H528" s="5"/>
      <c r="I528" s="5"/>
      <c r="J528" s="5"/>
    </row>
    <row r="529" spans="1:10" x14ac:dyDescent="0.25">
      <c r="A529" s="22">
        <v>48.9</v>
      </c>
      <c r="B529" s="22">
        <v>7508.3993999999993</v>
      </c>
      <c r="C529" s="22">
        <v>0.7102192154525816</v>
      </c>
      <c r="D529" s="22">
        <v>56.866422430112479</v>
      </c>
      <c r="E529" s="22">
        <v>8.583828006477745E-2</v>
      </c>
      <c r="F529" s="22">
        <v>18019120085.266937</v>
      </c>
      <c r="G529" s="23">
        <v>5.5496605564976224E-11</v>
      </c>
      <c r="H529" s="5"/>
      <c r="I529" s="5"/>
      <c r="J529" s="5"/>
    </row>
    <row r="530" spans="1:10" x14ac:dyDescent="0.25">
      <c r="A530" s="22">
        <v>49</v>
      </c>
      <c r="B530" s="22">
        <v>7539.14</v>
      </c>
      <c r="C530" s="22">
        <v>0.71197905491256719</v>
      </c>
      <c r="D530" s="22">
        <v>56.780278266313559</v>
      </c>
      <c r="E530" s="22">
        <v>8.6144163798920204E-2</v>
      </c>
      <c r="F530" s="22">
        <v>18028648390.217091</v>
      </c>
      <c r="G530" s="23">
        <v>5.5467275103253519E-11</v>
      </c>
      <c r="H530" s="5"/>
      <c r="I530" s="5"/>
      <c r="J530" s="5"/>
    </row>
    <row r="531" spans="1:10" x14ac:dyDescent="0.25">
      <c r="A531" s="22">
        <v>49.1</v>
      </c>
      <c r="B531" s="22">
        <v>7569.9434000000001</v>
      </c>
      <c r="C531" s="22">
        <v>0.71374157111012304</v>
      </c>
      <c r="D531" s="22">
        <v>56.69382682444359</v>
      </c>
      <c r="E531" s="22">
        <v>8.6451441869968448E-2</v>
      </c>
      <c r="F531" s="22">
        <v>18037967981.442173</v>
      </c>
      <c r="G531" s="23">
        <v>5.5438617089730964E-11</v>
      </c>
      <c r="H531" s="5"/>
      <c r="I531" s="5"/>
      <c r="J531" s="5"/>
    </row>
    <row r="532" spans="1:10" x14ac:dyDescent="0.25">
      <c r="A532" s="22">
        <v>49.2</v>
      </c>
      <c r="B532" s="22">
        <v>7600.8096000000014</v>
      </c>
      <c r="C532" s="22">
        <v>0.71550678179692073</v>
      </c>
      <c r="D532" s="22">
        <v>56.607066696658997</v>
      </c>
      <c r="E532" s="22">
        <v>8.6760127784593521E-2</v>
      </c>
      <c r="F532" s="22">
        <v>18047077817.675163</v>
      </c>
      <c r="G532" s="23">
        <v>5.5410632685398407E-11</v>
      </c>
      <c r="H532" s="5"/>
      <c r="I532" s="5"/>
      <c r="J532" s="5"/>
    </row>
    <row r="533" spans="1:10" x14ac:dyDescent="0.25">
      <c r="A533" s="22">
        <v>49.3</v>
      </c>
      <c r="B533" s="22">
        <v>7631.7385999999988</v>
      </c>
      <c r="C533" s="22">
        <v>0.71727470489440248</v>
      </c>
      <c r="D533" s="22">
        <v>56.519996461429464</v>
      </c>
      <c r="E533" s="22">
        <v>8.70702352295325E-2</v>
      </c>
      <c r="F533" s="22">
        <v>18055976849.672752</v>
      </c>
      <c r="G533" s="23">
        <v>5.5383323113760197E-11</v>
      </c>
      <c r="H533" s="5"/>
      <c r="I533" s="5"/>
      <c r="J533" s="5"/>
    </row>
    <row r="534" spans="1:10" x14ac:dyDescent="0.25">
      <c r="A534" s="22">
        <v>49.4</v>
      </c>
      <c r="B534" s="22">
        <v>7662.7304000000004</v>
      </c>
      <c r="C534" s="22">
        <v>0.71904535849611573</v>
      </c>
      <c r="D534" s="22">
        <v>56.432614683354878</v>
      </c>
      <c r="E534" s="22">
        <v>8.7381778074586691E-2</v>
      </c>
      <c r="F534" s="22">
        <v>18064664020.141781</v>
      </c>
      <c r="G534" s="23">
        <v>5.5356689661375249E-11</v>
      </c>
      <c r="H534" s="5"/>
      <c r="I534" s="5"/>
      <c r="J534" s="5"/>
    </row>
    <row r="535" spans="1:10" x14ac:dyDescent="0.25">
      <c r="A535" s="22">
        <v>49.5</v>
      </c>
      <c r="B535" s="22">
        <v>7693.7850000000008</v>
      </c>
      <c r="C535" s="22">
        <v>0.72081876087008956</v>
      </c>
      <c r="D535" s="22">
        <v>56.344919912978852</v>
      </c>
      <c r="E535" s="22">
        <v>8.7694770376025133E-2</v>
      </c>
      <c r="F535" s="22">
        <v>18073138263.593666</v>
      </c>
      <c r="G535" s="23">
        <v>5.5330733678632294E-11</v>
      </c>
      <c r="H535" s="5"/>
      <c r="I535" s="5"/>
      <c r="J535" s="5"/>
    </row>
    <row r="536" spans="1:10" x14ac:dyDescent="0.25">
      <c r="A536" s="22">
        <v>49.6</v>
      </c>
      <c r="B536" s="22">
        <v>7724.9023999999999</v>
      </c>
      <c r="C536" s="22">
        <v>0.72259493046125345</v>
      </c>
      <c r="D536" s="22">
        <v>56.256910686599213</v>
      </c>
      <c r="E536" s="22">
        <v>8.8009226379639927E-2</v>
      </c>
      <c r="F536" s="22">
        <v>18081398506.283642</v>
      </c>
      <c r="G536" s="23">
        <v>5.5305456580279467E-11</v>
      </c>
      <c r="H536" s="5"/>
      <c r="I536" s="5"/>
      <c r="J536" s="5"/>
    </row>
    <row r="537" spans="1:10" x14ac:dyDescent="0.25">
      <c r="A537" s="22">
        <v>49.7</v>
      </c>
      <c r="B537" s="22">
        <v>7756.0826000000015</v>
      </c>
      <c r="C537" s="22">
        <v>0.72437388589389806</v>
      </c>
      <c r="D537" s="22">
        <v>56.168585526074978</v>
      </c>
      <c r="E537" s="22">
        <v>8.8325160524235002E-2</v>
      </c>
      <c r="F537" s="22">
        <v>18089443666.07296</v>
      </c>
      <c r="G537" s="23">
        <v>5.5280859846204998E-11</v>
      </c>
      <c r="H537" s="5"/>
      <c r="I537" s="5"/>
      <c r="J537" s="5"/>
    </row>
    <row r="538" spans="1:10" x14ac:dyDescent="0.25">
      <c r="A538" s="22">
        <v>49.8</v>
      </c>
      <c r="B538" s="22">
        <v>7787.3255999999992</v>
      </c>
      <c r="C538" s="22">
        <v>0.72615564597418014</v>
      </c>
      <c r="D538" s="22">
        <v>56.07994293863004</v>
      </c>
      <c r="E538" s="22">
        <v>8.8642587444937249E-2</v>
      </c>
      <c r="F538" s="22">
        <v>18097272652.340904</v>
      </c>
      <c r="G538" s="23">
        <v>5.5256945022080371E-11</v>
      </c>
      <c r="H538" s="5"/>
      <c r="I538" s="5"/>
      <c r="J538" s="5"/>
    </row>
    <row r="539" spans="1:10" x14ac:dyDescent="0.25">
      <c r="A539" s="22">
        <v>49.9</v>
      </c>
      <c r="B539" s="22">
        <v>7818.6314000000002</v>
      </c>
      <c r="C539" s="22">
        <v>0.72794022969267436</v>
      </c>
      <c r="D539" s="22">
        <v>55.990981416653163</v>
      </c>
      <c r="E539" s="22">
        <v>8.8961521976877123E-2</v>
      </c>
      <c r="F539" s="22">
        <v>18104884365.834446</v>
      </c>
      <c r="G539" s="23">
        <v>5.5233713720209691E-11</v>
      </c>
      <c r="H539" s="5"/>
      <c r="I539" s="5"/>
      <c r="J539" s="5"/>
    </row>
    <row r="540" spans="1:10" x14ac:dyDescent="0.25">
      <c r="A540" s="22">
        <v>50</v>
      </c>
      <c r="B540" s="22">
        <v>7850</v>
      </c>
      <c r="C540" s="22">
        <v>0.72972765622696634</v>
      </c>
      <c r="D540" s="22">
        <v>55.901699437494742</v>
      </c>
      <c r="E540" s="22">
        <v>8.928197915842162E-2</v>
      </c>
      <c r="F540" s="22">
        <v>18112277698.622963</v>
      </c>
      <c r="G540" s="23">
        <v>5.5211167620073972E-11</v>
      </c>
      <c r="H540" s="5"/>
      <c r="I540" s="5"/>
      <c r="J540" s="5"/>
    </row>
    <row r="541" spans="1:10" x14ac:dyDescent="0.25">
      <c r="A541" s="22">
        <v>50.1</v>
      </c>
      <c r="B541" s="22">
        <v>7881.4314000000013</v>
      </c>
      <c r="C541" s="22">
        <v>0.73151794494429789</v>
      </c>
      <c r="D541" s="22">
        <v>55.812095463259574</v>
      </c>
      <c r="E541" s="22">
        <v>8.9603974235167527E-2</v>
      </c>
      <c r="F541" s="22">
        <v>18119451533.911808</v>
      </c>
      <c r="G541" s="23">
        <v>5.5189308469322641E-11</v>
      </c>
      <c r="H541" s="5"/>
      <c r="I541" s="5"/>
      <c r="J541" s="5"/>
    </row>
    <row r="542" spans="1:10" x14ac:dyDescent="0.25">
      <c r="A542" s="22">
        <v>50.2</v>
      </c>
      <c r="B542" s="22">
        <v>7912.9256000000014</v>
      </c>
      <c r="C542" s="22">
        <v>0.73331111540425609</v>
      </c>
      <c r="D542" s="22">
        <v>55.722167940596137</v>
      </c>
      <c r="E542" s="22">
        <v>8.9927522663437287E-2</v>
      </c>
      <c r="F542" s="22">
        <v>18126404745.971622</v>
      </c>
      <c r="G542" s="23">
        <v>5.516813808442836E-11</v>
      </c>
      <c r="H542" s="5"/>
      <c r="I542" s="5"/>
      <c r="J542" s="5"/>
    </row>
    <row r="543" spans="1:10" x14ac:dyDescent="0.25">
      <c r="A543" s="22">
        <v>50.3</v>
      </c>
      <c r="B543" s="22">
        <v>7944.4826000000003</v>
      </c>
      <c r="C543" s="22">
        <v>0.73510718736151359</v>
      </c>
      <c r="D543" s="22">
        <v>55.631915300481971</v>
      </c>
      <c r="E543" s="22">
        <v>9.0252640114165672E-2</v>
      </c>
      <c r="F543" s="22">
        <v>18133136200.002773</v>
      </c>
      <c r="G543" s="23">
        <v>5.5147658351556804E-11</v>
      </c>
      <c r="H543" s="5"/>
      <c r="I543" s="5"/>
      <c r="J543" s="5"/>
    </row>
    <row r="544" spans="1:10" x14ac:dyDescent="0.25">
      <c r="A544" s="22">
        <v>50.4</v>
      </c>
      <c r="B544" s="22">
        <v>7976.1023999999998</v>
      </c>
      <c r="C544" s="22">
        <v>0.7369061807686178</v>
      </c>
      <c r="D544" s="22">
        <v>55.541335958005192</v>
      </c>
      <c r="E544" s="22">
        <v>9.0579342476779345E-2</v>
      </c>
      <c r="F544" s="22">
        <v>18139644752.016327</v>
      </c>
      <c r="G544" s="23">
        <v>5.5127871227403402E-11</v>
      </c>
      <c r="H544" s="5"/>
      <c r="I544" s="5"/>
      <c r="J544" s="5"/>
    </row>
    <row r="545" spans="1:10" x14ac:dyDescent="0.25">
      <c r="A545" s="22">
        <v>50.5</v>
      </c>
      <c r="B545" s="22">
        <v>8007.7849999999999</v>
      </c>
      <c r="C545" s="22">
        <v>0.73870811577883222</v>
      </c>
      <c r="D545" s="22">
        <v>55.450428312142009</v>
      </c>
      <c r="E545" s="22">
        <v>9.0907645863183006E-2</v>
      </c>
      <c r="F545" s="22">
        <v>18145929248.708866</v>
      </c>
      <c r="G545" s="23">
        <v>5.5108778740066606E-11</v>
      </c>
      <c r="H545" s="5"/>
      <c r="I545" s="5"/>
      <c r="J545" s="5"/>
    </row>
    <row r="546" spans="1:10" x14ac:dyDescent="0.25">
      <c r="A546" s="22">
        <v>50.6</v>
      </c>
      <c r="B546" s="22">
        <v>8039.5304000000006</v>
      </c>
      <c r="C546" s="22">
        <v>0.74051301274902837</v>
      </c>
      <c r="D546" s="22">
        <v>55.359190745530235</v>
      </c>
      <c r="E546" s="22">
        <v>9.1237566611773957E-2</v>
      </c>
      <c r="F546" s="22">
        <v>18151988527.347237</v>
      </c>
      <c r="G546" s="23">
        <v>5.5090382989909355E-11</v>
      </c>
      <c r="H546" s="5"/>
      <c r="I546" s="5"/>
      <c r="J546" s="5"/>
    </row>
    <row r="547" spans="1:10" x14ac:dyDescent="0.25">
      <c r="A547" s="22">
        <v>50.7</v>
      </c>
      <c r="B547" s="22">
        <v>8071.338600000001</v>
      </c>
      <c r="C547" s="22">
        <v>0.74232089224263353</v>
      </c>
      <c r="D547" s="22">
        <v>55.267621624238537</v>
      </c>
      <c r="E547" s="22">
        <v>9.1569121291698252E-2</v>
      </c>
      <c r="F547" s="22">
        <v>18157821415.621052</v>
      </c>
      <c r="G547" s="23">
        <v>5.5072686150537129E-11</v>
      </c>
      <c r="H547" s="5"/>
      <c r="I547" s="5"/>
      <c r="J547" s="5"/>
    </row>
    <row r="548" spans="1:10" x14ac:dyDescent="0.25">
      <c r="A548" s="22">
        <v>50.8</v>
      </c>
      <c r="B548" s="22">
        <v>8103.2095999999992</v>
      </c>
      <c r="C548" s="22">
        <v>0.74413177503263095</v>
      </c>
      <c r="D548" s="22">
        <v>55.175719297531586</v>
      </c>
      <c r="E548" s="22">
        <v>9.1902326706950532E-2</v>
      </c>
      <c r="F548" s="22">
        <v>18163426731.542744</v>
      </c>
      <c r="G548" s="23">
        <v>5.5055690469650884E-11</v>
      </c>
      <c r="H548" s="5"/>
      <c r="I548" s="5"/>
      <c r="J548" s="5"/>
    </row>
    <row r="549" spans="1:10" x14ac:dyDescent="0.25">
      <c r="A549" s="22">
        <v>50.9</v>
      </c>
      <c r="B549" s="22">
        <v>8135.143399999999</v>
      </c>
      <c r="C549" s="22">
        <v>0.74594568210461809</v>
      </c>
      <c r="D549" s="22">
        <v>55.083482097630679</v>
      </c>
      <c r="E549" s="22">
        <v>9.2237199900907285E-2</v>
      </c>
      <c r="F549" s="22">
        <v>18168803283.278286</v>
      </c>
      <c r="G549" s="23">
        <v>5.5039398270130046E-11</v>
      </c>
      <c r="H549" s="5"/>
      <c r="I549" s="5"/>
      <c r="J549" s="5"/>
    </row>
    <row r="550" spans="1:10" x14ac:dyDescent="0.25">
      <c r="A550" s="22">
        <v>51</v>
      </c>
      <c r="B550" s="22">
        <v>8167.14</v>
      </c>
      <c r="C550" s="22">
        <v>0.74776263465992066</v>
      </c>
      <c r="D550" s="22">
        <v>54.990908339470082</v>
      </c>
      <c r="E550" s="22">
        <v>9.2573758160597208E-2</v>
      </c>
      <c r="F550" s="22">
        <v>18173949869.047279</v>
      </c>
      <c r="G550" s="23">
        <v>5.5023811950925246E-11</v>
      </c>
      <c r="H550" s="5"/>
      <c r="I550" s="5"/>
      <c r="J550" s="5"/>
    </row>
    <row r="551" spans="1:10" x14ac:dyDescent="0.25">
      <c r="A551" s="22">
        <v>51.1</v>
      </c>
      <c r="B551" s="22">
        <v>8199.1994000000013</v>
      </c>
      <c r="C551" s="22">
        <v>0.74958265411876501</v>
      </c>
      <c r="D551" s="22">
        <v>54.897996320448705</v>
      </c>
      <c r="E551" s="22">
        <v>9.291201902137658E-2</v>
      </c>
      <c r="F551" s="22">
        <v>18178865276.960545</v>
      </c>
      <c r="G551" s="23">
        <v>5.5008933988161292E-11</v>
      </c>
      <c r="H551" s="5"/>
      <c r="I551" s="5"/>
      <c r="J551" s="5"/>
    </row>
    <row r="552" spans="1:10" x14ac:dyDescent="0.25">
      <c r="A552" s="22">
        <v>51.2</v>
      </c>
      <c r="B552" s="22">
        <v>8231.3216000000011</v>
      </c>
      <c r="C552" s="22">
        <v>0.75140576212351218</v>
      </c>
      <c r="D552" s="22">
        <v>54.804744320177235</v>
      </c>
      <c r="E552" s="22">
        <v>9.3252000271469626E-2</v>
      </c>
      <c r="F552" s="22">
        <v>18183548284.902405</v>
      </c>
      <c r="G552" s="23">
        <v>5.4994766936125922E-11</v>
      </c>
      <c r="H552" s="5"/>
      <c r="I552" s="5"/>
      <c r="J552" s="5"/>
    </row>
    <row r="553" spans="1:10" x14ac:dyDescent="0.25">
      <c r="A553" s="22">
        <v>51.3</v>
      </c>
      <c r="B553" s="22">
        <v>8263.5065999999988</v>
      </c>
      <c r="C553" s="22">
        <v>0.75323198054195073</v>
      </c>
      <c r="D553" s="22">
        <v>54.711150600220428</v>
      </c>
      <c r="E553" s="22">
        <v>9.359371995680732E-2</v>
      </c>
      <c r="F553" s="22">
        <v>18187997660.37281</v>
      </c>
      <c r="G553" s="23">
        <v>5.4981313428402011E-11</v>
      </c>
      <c r="H553" s="5"/>
      <c r="I553" s="5"/>
      <c r="J553" s="5"/>
    </row>
    <row r="554" spans="1:10" x14ac:dyDescent="0.25">
      <c r="A554" s="22">
        <v>51.4</v>
      </c>
      <c r="B554" s="22">
        <v>8295.7543999999998</v>
      </c>
      <c r="C554" s="22">
        <v>0.75506133147065546</v>
      </c>
      <c r="D554" s="22">
        <v>54.617213403834512</v>
      </c>
      <c r="E554" s="22">
        <v>9.3937196385915911E-2</v>
      </c>
      <c r="F554" s="22">
        <v>18192212160.338867</v>
      </c>
      <c r="G554" s="23">
        <v>5.4968576178993558E-11</v>
      </c>
      <c r="H554" s="5"/>
      <c r="I554" s="5"/>
      <c r="J554" s="5"/>
    </row>
    <row r="555" spans="1:10" x14ac:dyDescent="0.25">
      <c r="A555" s="22">
        <v>51.5</v>
      </c>
      <c r="B555" s="22">
        <v>8328.0650000000005</v>
      </c>
      <c r="C555" s="22">
        <v>0.75689383723840664</v>
      </c>
      <c r="D555" s="22">
        <v>54.522930955699735</v>
      </c>
      <c r="E555" s="22">
        <v>9.4282448134777042E-2</v>
      </c>
      <c r="F555" s="22">
        <v>18196190531.111065</v>
      </c>
      <c r="G555" s="23">
        <v>5.4956557983400036E-11</v>
      </c>
      <c r="H555" s="5"/>
      <c r="I555" s="5"/>
      <c r="J555" s="5"/>
    </row>
    <row r="556" spans="1:10" x14ac:dyDescent="0.25">
      <c r="A556" s="22">
        <v>51.6</v>
      </c>
      <c r="B556" s="22">
        <v>8360.4384000000009</v>
      </c>
      <c r="C556" s="22">
        <v>0.75872952040967789</v>
      </c>
      <c r="D556" s="22">
        <v>54.428301461647692</v>
      </c>
      <c r="E556" s="22">
        <v>9.4629494052043128E-2</v>
      </c>
      <c r="F556" s="22">
        <v>18199931508.170368</v>
      </c>
      <c r="G556" s="23">
        <v>5.4945261719862904E-11</v>
      </c>
      <c r="H556" s="5"/>
      <c r="I556" s="5"/>
      <c r="J556" s="5"/>
    </row>
    <row r="557" spans="1:10" x14ac:dyDescent="0.25">
      <c r="A557" s="22">
        <v>51.7</v>
      </c>
      <c r="B557" s="22">
        <v>8392.874600000001</v>
      </c>
      <c r="C557" s="22">
        <v>0.76056840378819002</v>
      </c>
      <c r="D557" s="22">
        <v>54.333323108383489</v>
      </c>
      <c r="E557" s="22">
        <v>9.4978353264203008E-2</v>
      </c>
      <c r="F557" s="22">
        <v>18203433816.025406</v>
      </c>
      <c r="G557" s="23">
        <v>5.4934690350545254E-11</v>
      </c>
      <c r="H557" s="5"/>
      <c r="I557" s="5"/>
      <c r="J557" s="5"/>
    </row>
    <row r="558" spans="1:10" x14ac:dyDescent="0.25">
      <c r="A558" s="22">
        <v>51.8</v>
      </c>
      <c r="B558" s="22">
        <v>8425.373599999999</v>
      </c>
      <c r="C558" s="22">
        <v>0.76241051042053343</v>
      </c>
      <c r="D558" s="22">
        <v>54.237994063202599</v>
      </c>
      <c r="E558" s="22">
        <v>9.5329045180889693E-2</v>
      </c>
      <c r="F558" s="22">
        <v>18206696168.062904</v>
      </c>
      <c r="G558" s="23">
        <v>5.492484692275692E-11</v>
      </c>
      <c r="H558" s="5"/>
      <c r="I558" s="5"/>
      <c r="J558" s="5"/>
    </row>
    <row r="559" spans="1:10" x14ac:dyDescent="0.25">
      <c r="A559" s="22">
        <v>51.9</v>
      </c>
      <c r="B559" s="22">
        <v>8457.9354000000003</v>
      </c>
      <c r="C559" s="22">
        <v>0.76425586359986242</v>
      </c>
      <c r="D559" s="22">
        <v>54.14231247370212</v>
      </c>
      <c r="E559" s="22">
        <v>9.5681589500479447E-2</v>
      </c>
      <c r="F559" s="22">
        <v>18209717266.363655</v>
      </c>
      <c r="G559" s="23">
        <v>5.4915734570309039E-11</v>
      </c>
      <c r="H559" s="5"/>
      <c r="I559" s="5"/>
      <c r="J559" s="5"/>
    </row>
    <row r="560" spans="1:10" x14ac:dyDescent="0.25">
      <c r="A560" s="22">
        <v>52</v>
      </c>
      <c r="B560" s="22">
        <v>8490.56</v>
      </c>
      <c r="C560" s="22">
        <v>0.7661044868696596</v>
      </c>
      <c r="D560" s="22">
        <v>54.046276467486635</v>
      </c>
      <c r="E560" s="22">
        <v>9.6036006215484804E-2</v>
      </c>
      <c r="F560" s="22">
        <v>18212495801.579712</v>
      </c>
      <c r="G560" s="23">
        <v>5.4907356514710202E-11</v>
      </c>
      <c r="H560" s="5"/>
      <c r="I560" s="5"/>
      <c r="J560" s="5"/>
    </row>
    <row r="561" spans="1:10" x14ac:dyDescent="0.25">
      <c r="A561" s="22">
        <v>52.1</v>
      </c>
      <c r="B561" s="22">
        <v>8523.247400000002</v>
      </c>
      <c r="C561" s="22">
        <v>0.76795640402757559</v>
      </c>
      <c r="D561" s="22">
        <v>53.949884151868204</v>
      </c>
      <c r="E561" s="22">
        <v>9.6392315618430757E-2</v>
      </c>
      <c r="F561" s="22">
        <v>18215030452.741646</v>
      </c>
      <c r="G561" s="23">
        <v>5.4899716066600612E-11</v>
      </c>
      <c r="H561" s="5"/>
      <c r="I561" s="5"/>
      <c r="J561" s="5"/>
    </row>
    <row r="562" spans="1:10" x14ac:dyDescent="0.25">
      <c r="A562" s="22">
        <v>52.2</v>
      </c>
      <c r="B562" s="22">
        <v>8555.9976000000006</v>
      </c>
      <c r="C562" s="22">
        <v>0.76981163912934458</v>
      </c>
      <c r="D562" s="22">
        <v>53.853133613560502</v>
      </c>
      <c r="E562" s="22">
        <v>9.6750538307702527E-2</v>
      </c>
      <c r="F562" s="22">
        <v>18217319887.094425</v>
      </c>
      <c r="G562" s="23">
        <v>5.4892816627127648E-11</v>
      </c>
      <c r="H562" s="5"/>
      <c r="I562" s="5"/>
      <c r="J562" s="5"/>
    </row>
    <row r="563" spans="1:10" x14ac:dyDescent="0.25">
      <c r="A563" s="22">
        <v>52.3</v>
      </c>
      <c r="B563" s="22">
        <v>8588.8106000000007</v>
      </c>
      <c r="C563" s="22">
        <v>0.77167021649277556</v>
      </c>
      <c r="D563" s="22">
        <v>53.75602291836703</v>
      </c>
      <c r="E563" s="22">
        <v>9.7110695193471486E-2</v>
      </c>
      <c r="F563" s="22">
        <v>18219362759.941868</v>
      </c>
      <c r="G563" s="23">
        <v>5.4886661689324128E-11</v>
      </c>
      <c r="H563" s="5"/>
      <c r="I563" s="5"/>
      <c r="J563" s="5"/>
    </row>
    <row r="564" spans="1:10" x14ac:dyDescent="0.25">
      <c r="A564" s="22">
        <v>52.4</v>
      </c>
      <c r="B564" s="22">
        <v>8621.6864000000005</v>
      </c>
      <c r="C564" s="22">
        <v>0.77353216070182618</v>
      </c>
      <c r="D564" s="22">
        <v>53.658550110863033</v>
      </c>
      <c r="E564" s="22">
        <v>9.7472807503997672E-2</v>
      </c>
      <c r="F564" s="22">
        <v>18221157714.444183</v>
      </c>
      <c r="G564" s="23">
        <v>5.4881254839657368E-11</v>
      </c>
      <c r="H564" s="5"/>
      <c r="I564" s="5"/>
      <c r="J564" s="5"/>
    </row>
    <row r="565" spans="1:10" x14ac:dyDescent="0.25">
      <c r="A565" s="22">
        <v>52.5</v>
      </c>
      <c r="B565" s="22">
        <v>8654.625</v>
      </c>
      <c r="C565" s="22">
        <v>0.77539749661075308</v>
      </c>
      <c r="D565" s="22">
        <v>53.56071321407137</v>
      </c>
      <c r="E565" s="22">
        <v>9.7836896791662298E-2</v>
      </c>
      <c r="F565" s="22">
        <v>18222703381.490894</v>
      </c>
      <c r="G565" s="23">
        <v>5.48765997593813E-11</v>
      </c>
      <c r="H565" s="5"/>
      <c r="I565" s="5"/>
      <c r="J565" s="5"/>
    </row>
    <row r="566" spans="1:10" x14ac:dyDescent="0.25">
      <c r="A566" s="22">
        <v>52.6</v>
      </c>
      <c r="B566" s="22">
        <v>8687.626400000001</v>
      </c>
      <c r="C566" s="22">
        <v>0.77726624934835109</v>
      </c>
      <c r="D566" s="22">
        <v>53.462510229131588</v>
      </c>
      <c r="E566" s="22">
        <v>9.8202984939781857E-2</v>
      </c>
      <c r="F566" s="22">
        <v>18223998379.452675</v>
      </c>
      <c r="G566" s="23">
        <v>5.4872700226284435E-11</v>
      </c>
      <c r="H566" s="5"/>
      <c r="I566" s="5"/>
      <c r="J566" s="5"/>
    </row>
    <row r="567" spans="1:10" x14ac:dyDescent="0.25">
      <c r="A567" s="22">
        <v>52.7</v>
      </c>
      <c r="B567" s="22">
        <v>8720.6906000000017</v>
      </c>
      <c r="C567" s="22">
        <v>0.77913844432227342</v>
      </c>
      <c r="D567" s="22">
        <v>53.363939134962671</v>
      </c>
      <c r="E567" s="22">
        <v>9.8571094168917739E-2</v>
      </c>
      <c r="F567" s="22">
        <v>18225041314.053669</v>
      </c>
      <c r="G567" s="23">
        <v>5.4869560116106921E-11</v>
      </c>
      <c r="H567" s="5"/>
      <c r="I567" s="5"/>
      <c r="J567" s="5"/>
    </row>
    <row r="568" spans="1:10" x14ac:dyDescent="0.25">
      <c r="A568" s="22">
        <v>52.8</v>
      </c>
      <c r="B568" s="22">
        <v>8753.8176000000003</v>
      </c>
      <c r="C568" s="22">
        <v>0.78101410722344144</v>
      </c>
      <c r="D568" s="22">
        <v>53.264997887918859</v>
      </c>
      <c r="E568" s="22">
        <v>9.8941247043811131E-2</v>
      </c>
      <c r="F568" s="22">
        <v>18225830778.153683</v>
      </c>
      <c r="G568" s="23">
        <v>5.4867183404261928E-11</v>
      </c>
      <c r="H568" s="5"/>
      <c r="I568" s="5"/>
      <c r="J568" s="5"/>
    </row>
    <row r="569" spans="1:10" x14ac:dyDescent="0.25">
      <c r="A569" s="22">
        <v>52.9</v>
      </c>
      <c r="B569" s="22">
        <v>8787.0073999999986</v>
      </c>
      <c r="C569" s="22">
        <v>0.78289326403054382</v>
      </c>
      <c r="D569" s="22">
        <v>53.165684421438606</v>
      </c>
      <c r="E569" s="22">
        <v>9.9313466480253965E-2</v>
      </c>
      <c r="F569" s="22">
        <v>18226365351.569901</v>
      </c>
      <c r="G569" s="23">
        <v>5.4865574167471986E-11</v>
      </c>
      <c r="H569" s="5"/>
      <c r="I569" s="5"/>
      <c r="J569" s="5"/>
    </row>
    <row r="570" spans="1:10" x14ac:dyDescent="0.25">
      <c r="A570" s="22">
        <v>53</v>
      </c>
      <c r="B570" s="22">
        <v>8820.26</v>
      </c>
      <c r="C570" s="22">
        <v>0.78477594101462611</v>
      </c>
      <c r="D570" s="22">
        <v>53.065996645686397</v>
      </c>
      <c r="E570" s="22">
        <v>9.9687775752208552E-2</v>
      </c>
      <c r="F570" s="22">
        <v>18226643600.880478</v>
      </c>
      <c r="G570" s="23">
        <v>5.4864736585494702E-11</v>
      </c>
      <c r="H570" s="5"/>
      <c r="I570" s="5"/>
      <c r="J570" s="5"/>
    </row>
    <row r="571" spans="1:10" x14ac:dyDescent="0.25">
      <c r="A571" s="22">
        <v>53.1</v>
      </c>
      <c r="B571" s="22">
        <v>8853.5754000000015</v>
      </c>
      <c r="C571" s="22">
        <v>0.78666216474377748</v>
      </c>
      <c r="D571" s="22">
        <v>52.965932447187214</v>
      </c>
      <c r="E571" s="22">
        <v>0.10006419849918302</v>
      </c>
      <c r="F571" s="22">
        <v>18226664079.210018</v>
      </c>
      <c r="G571" s="23">
        <v>5.486467494293899E-11</v>
      </c>
      <c r="H571" s="5"/>
      <c r="I571" s="5"/>
      <c r="J571" s="5"/>
    </row>
    <row r="572" spans="1:10" x14ac:dyDescent="0.25">
      <c r="A572" s="22">
        <v>53.2</v>
      </c>
      <c r="B572" s="22">
        <v>8886.9536000000007</v>
      </c>
      <c r="C572" s="22">
        <v>0.78855196208791045</v>
      </c>
      <c r="D572" s="22">
        <v>52.865489688453657</v>
      </c>
      <c r="E572" s="22">
        <v>0.10044275873355701</v>
      </c>
      <c r="F572" s="22">
        <v>18226425326.05365</v>
      </c>
      <c r="G572" s="23">
        <v>5.4865393631002138E-11</v>
      </c>
      <c r="H572" s="5"/>
      <c r="I572" s="5"/>
      <c r="J572" s="5"/>
    </row>
    <row r="573" spans="1:10" x14ac:dyDescent="0.25">
      <c r="A573" s="22">
        <v>53.3</v>
      </c>
      <c r="B573" s="22">
        <v>8920.3945999999996</v>
      </c>
      <c r="C573" s="22">
        <v>0.79044536022364298</v>
      </c>
      <c r="D573" s="22">
        <v>52.764666207605252</v>
      </c>
      <c r="E573" s="22">
        <v>0.10082348084840476</v>
      </c>
      <c r="F573" s="22">
        <v>18225925867.040474</v>
      </c>
      <c r="G573" s="23">
        <v>5.4866897149427508E-11</v>
      </c>
      <c r="H573" s="5"/>
      <c r="I573" s="5"/>
      <c r="J573" s="5"/>
    </row>
    <row r="574" spans="1:10" x14ac:dyDescent="0.25">
      <c r="A574" s="22">
        <v>53.4</v>
      </c>
      <c r="B574" s="22">
        <v>8953.8984</v>
      </c>
      <c r="C574" s="22">
        <v>0.79234238663927858</v>
      </c>
      <c r="D574" s="22">
        <v>52.663459817980055</v>
      </c>
      <c r="E574" s="22">
        <v>0.10120638962519735</v>
      </c>
      <c r="F574" s="22">
        <v>18225164213.750141</v>
      </c>
      <c r="G574" s="23">
        <v>5.4869190108341568E-11</v>
      </c>
      <c r="H574" s="5"/>
      <c r="I574" s="5"/>
      <c r="J574" s="5"/>
    </row>
    <row r="575" spans="1:10" x14ac:dyDescent="0.25">
      <c r="A575" s="22">
        <v>53.5</v>
      </c>
      <c r="B575" s="22">
        <v>8987.4650000000001</v>
      </c>
      <c r="C575" s="22">
        <v>0.79424306913989429</v>
      </c>
      <c r="D575" s="22">
        <v>52.561868307738074</v>
      </c>
      <c r="E575" s="22">
        <v>0.1015915102419811</v>
      </c>
      <c r="F575" s="22">
        <v>18224138863.474937</v>
      </c>
      <c r="G575" s="23">
        <v>5.4872277230295551E-11</v>
      </c>
      <c r="H575" s="5"/>
      <c r="I575" s="5"/>
      <c r="J575" s="5"/>
    </row>
    <row r="576" spans="1:10" x14ac:dyDescent="0.25">
      <c r="A576" s="22">
        <v>53.6</v>
      </c>
      <c r="B576" s="22">
        <v>9021.0944</v>
      </c>
      <c r="C576" s="22">
        <v>0.796147435852532</v>
      </c>
      <c r="D576" s="22">
        <v>52.459889439456497</v>
      </c>
      <c r="E576" s="22">
        <v>0.10197886828157721</v>
      </c>
      <c r="F576" s="22">
        <v>18222848299.010941</v>
      </c>
      <c r="G576" s="23">
        <v>5.4876163352261226E-11</v>
      </c>
      <c r="H576" s="5"/>
      <c r="I576" s="5"/>
      <c r="J576" s="5"/>
    </row>
    <row r="577" spans="1:10" x14ac:dyDescent="0.25">
      <c r="A577" s="22">
        <v>53.7</v>
      </c>
      <c r="B577" s="22">
        <v>9054.7866000000013</v>
      </c>
      <c r="C577" s="22">
        <v>0.79805551523150142</v>
      </c>
      <c r="D577" s="22">
        <v>52.357520949716474</v>
      </c>
      <c r="E577" s="22">
        <v>0.10236848974002299</v>
      </c>
      <c r="F577" s="22">
        <v>18221290988.439087</v>
      </c>
      <c r="G577" s="23">
        <v>5.4880853427700201E-11</v>
      </c>
      <c r="H577" s="5"/>
      <c r="I577" s="5"/>
      <c r="J577" s="5"/>
    </row>
    <row r="578" spans="1:10" x14ac:dyDescent="0.25">
      <c r="A578" s="22">
        <v>53.8</v>
      </c>
      <c r="B578" s="22">
        <v>9088.5415999999987</v>
      </c>
      <c r="C578" s="22">
        <v>0.79996733606379433</v>
      </c>
      <c r="D578" s="22">
        <v>52.254760548681119</v>
      </c>
      <c r="E578" s="22">
        <v>0.10276040103535422</v>
      </c>
      <c r="F578" s="22">
        <v>18219465384.879772</v>
      </c>
      <c r="G578" s="23">
        <v>5.4886352528757194E-11</v>
      </c>
      <c r="H578" s="5"/>
      <c r="I578" s="5"/>
      <c r="J578" s="5"/>
    </row>
    <row r="579" spans="1:10" x14ac:dyDescent="0.25">
      <c r="A579" s="22">
        <v>53.9</v>
      </c>
      <c r="B579" s="22">
        <v>9122.3593999999994</v>
      </c>
      <c r="C579" s="22">
        <v>0.80188292747461565</v>
      </c>
      <c r="D579" s="22">
        <v>52.15160591966464</v>
      </c>
      <c r="E579" s="22">
        <v>0.10315462901647976</v>
      </c>
      <c r="F579" s="22">
        <v>18217369926.266537</v>
      </c>
      <c r="G579" s="23">
        <v>5.4892665848441698E-11</v>
      </c>
      <c r="H579" s="5"/>
      <c r="I579" s="5"/>
      <c r="J579" s="5"/>
    </row>
    <row r="580" spans="1:10" x14ac:dyDescent="0.25">
      <c r="A580" s="22">
        <v>54</v>
      </c>
      <c r="B580" s="22">
        <v>9156.24</v>
      </c>
      <c r="C580" s="22">
        <v>0.80380231893303</v>
      </c>
      <c r="D580" s="22">
        <v>52.04805471869242</v>
      </c>
      <c r="E580" s="22">
        <v>0.1035512009722197</v>
      </c>
      <c r="F580" s="22">
        <v>18215003035.126732</v>
      </c>
      <c r="G580" s="23">
        <v>5.4899798702835759E-11</v>
      </c>
      <c r="H580" s="5"/>
      <c r="I580" s="5"/>
      <c r="J580" s="5"/>
    </row>
    <row r="581" spans="1:10" x14ac:dyDescent="0.25">
      <c r="A581" s="22">
        <v>54.1</v>
      </c>
      <c r="B581" s="22">
        <v>9190.1834000000017</v>
      </c>
      <c r="C581" s="22">
        <v>0.80572554025773258</v>
      </c>
      <c r="D581" s="22">
        <v>51.944104574051508</v>
      </c>
      <c r="E581" s="22">
        <v>0.1039501446409119</v>
      </c>
      <c r="F581" s="22">
        <v>18212363118.299095</v>
      </c>
      <c r="G581" s="23">
        <v>5.4907756533540547E-11</v>
      </c>
      <c r="H581" s="5"/>
      <c r="I581" s="5"/>
      <c r="J581" s="5"/>
    </row>
    <row r="582" spans="1:10" x14ac:dyDescent="0.25">
      <c r="A582" s="22">
        <v>54.2</v>
      </c>
      <c r="B582" s="22">
        <v>9224.1896000000015</v>
      </c>
      <c r="C582" s="22">
        <v>0.80765262162294238</v>
      </c>
      <c r="D582" s="22">
        <v>51.839753085831724</v>
      </c>
      <c r="E582" s="22">
        <v>0.10435148821978402</v>
      </c>
      <c r="F582" s="22">
        <v>18209448566.731071</v>
      </c>
      <c r="G582" s="23">
        <v>5.491654490993289E-11</v>
      </c>
      <c r="H582" s="5"/>
      <c r="I582" s="5"/>
      <c r="J582" s="5"/>
    </row>
    <row r="583" spans="1:10" x14ac:dyDescent="0.25">
      <c r="A583" s="22">
        <v>54.3</v>
      </c>
      <c r="B583" s="22">
        <v>9258.2585999999992</v>
      </c>
      <c r="C583" s="22">
        <v>0.80958359356442533</v>
      </c>
      <c r="D583" s="22">
        <v>51.73499782545661</v>
      </c>
      <c r="E583" s="22">
        <v>0.10475526037511429</v>
      </c>
      <c r="F583" s="22">
        <v>18206257755.176899</v>
      </c>
      <c r="G583" s="23">
        <v>5.4926169531772822E-11</v>
      </c>
      <c r="H583" s="5"/>
      <c r="I583" s="5"/>
      <c r="J583" s="5"/>
    </row>
    <row r="584" spans="1:10" x14ac:dyDescent="0.25">
      <c r="A584" s="22">
        <v>54.4</v>
      </c>
      <c r="B584" s="22">
        <v>9292.3904000000002</v>
      </c>
      <c r="C584" s="22">
        <v>0.81151848698564677</v>
      </c>
      <c r="D584" s="22">
        <v>51.629836335204473</v>
      </c>
      <c r="E584" s="22">
        <v>0.1051614902521365</v>
      </c>
      <c r="F584" s="22">
        <v>18202789041.981171</v>
      </c>
      <c r="G584" s="23">
        <v>5.493663623160691E-11</v>
      </c>
      <c r="H584" s="5"/>
      <c r="I584" s="5"/>
      <c r="J584" s="5"/>
    </row>
    <row r="585" spans="1:10" x14ac:dyDescent="0.25">
      <c r="A585" s="22">
        <v>54.5</v>
      </c>
      <c r="B585" s="22">
        <v>9326.5849999999991</v>
      </c>
      <c r="C585" s="22">
        <v>0.81345733316406044</v>
      </c>
      <c r="D585" s="22">
        <v>51.524266127718882</v>
      </c>
      <c r="E585" s="22">
        <v>0.10557020748559154</v>
      </c>
      <c r="F585" s="22">
        <v>18199040768.790947</v>
      </c>
      <c r="G585" s="23">
        <v>5.4947950977442366E-11</v>
      </c>
      <c r="H585" s="5"/>
      <c r="I585" s="5"/>
      <c r="J585" s="5"/>
    </row>
    <row r="586" spans="1:10" x14ac:dyDescent="0.25">
      <c r="A586" s="22">
        <v>54.6</v>
      </c>
      <c r="B586" s="22">
        <v>9360.8424000000014</v>
      </c>
      <c r="C586" s="22">
        <v>0.81540016375753399</v>
      </c>
      <c r="D586" s="22">
        <v>51.418284685508517</v>
      </c>
      <c r="E586" s="22">
        <v>0.10598144221036421</v>
      </c>
      <c r="F586" s="22">
        <v>18195011260.296131</v>
      </c>
      <c r="G586" s="23">
        <v>5.4960119875392952E-11</v>
      </c>
      <c r="H586" s="5"/>
      <c r="I586" s="5"/>
      <c r="J586" s="5"/>
    </row>
    <row r="587" spans="1:10" x14ac:dyDescent="0.25">
      <c r="A587" s="22">
        <v>54.7</v>
      </c>
      <c r="B587" s="22">
        <v>9395.1626000000015</v>
      </c>
      <c r="C587" s="22">
        <v>0.81734701081091921</v>
      </c>
      <c r="D587" s="22">
        <v>51.311889460435964</v>
      </c>
      <c r="E587" s="22">
        <v>0.1063952250725535</v>
      </c>
      <c r="F587" s="22">
        <v>18190698823.938778</v>
      </c>
      <c r="G587" s="23">
        <v>5.497314917247764E-11</v>
      </c>
      <c r="H587" s="5"/>
      <c r="I587" s="5"/>
      <c r="J587" s="5"/>
    </row>
    <row r="588" spans="1:10" x14ac:dyDescent="0.25">
      <c r="A588" s="22">
        <v>54.8</v>
      </c>
      <c r="B588" s="22">
        <v>9429.5455999999995</v>
      </c>
      <c r="C588" s="22">
        <v>0.81929790676276537</v>
      </c>
      <c r="D588" s="22">
        <v>51.205077873195357</v>
      </c>
      <c r="E588" s="22">
        <v>0.1068115872406068</v>
      </c>
      <c r="F588" s="22">
        <v>18186101749.65662</v>
      </c>
      <c r="G588" s="23">
        <v>5.4987045259376791E-11</v>
      </c>
      <c r="H588" s="5"/>
      <c r="I588" s="5"/>
      <c r="J588" s="5"/>
    </row>
    <row r="589" spans="1:10" x14ac:dyDescent="0.25">
      <c r="A589" s="22">
        <v>54.9</v>
      </c>
      <c r="B589" s="22">
        <v>9463.991399999999</v>
      </c>
      <c r="C589" s="22">
        <v>0.82125288445218603</v>
      </c>
      <c r="D589" s="22">
        <v>51.097847312778256</v>
      </c>
      <c r="E589" s="22">
        <v>0.10723056041710066</v>
      </c>
      <c r="F589" s="22">
        <v>18181218309.562141</v>
      </c>
      <c r="G589" s="23">
        <v>5.5001814673445998E-11</v>
      </c>
      <c r="H589" s="5"/>
      <c r="I589" s="5"/>
      <c r="J589" s="5"/>
    </row>
    <row r="590" spans="1:10" x14ac:dyDescent="0.25">
      <c r="A590" s="22">
        <v>55</v>
      </c>
      <c r="B590" s="22">
        <v>9498.5000000000018</v>
      </c>
      <c r="C590" s="22">
        <v>0.82321197712587568</v>
      </c>
      <c r="D590" s="22">
        <v>50.990195135927856</v>
      </c>
      <c r="E590" s="22">
        <v>0.10765217685040085</v>
      </c>
      <c r="F590" s="22">
        <v>18176046757.690014</v>
      </c>
      <c r="G590" s="23">
        <v>5.5017464101588259E-11</v>
      </c>
      <c r="H590" s="5"/>
      <c r="I590" s="5"/>
      <c r="J590" s="5"/>
    </row>
    <row r="591" spans="1:10" x14ac:dyDescent="0.25">
      <c r="A591" s="22">
        <v>55.1</v>
      </c>
      <c r="B591" s="22">
        <v>9533.0714000000007</v>
      </c>
      <c r="C591" s="22">
        <v>0.82517521844528985</v>
      </c>
      <c r="D591" s="22">
        <v>50.882118666580695</v>
      </c>
      <c r="E591" s="22">
        <v>0.10807646934716075</v>
      </c>
      <c r="F591" s="22">
        <v>18170585329.651047</v>
      </c>
      <c r="G591" s="23">
        <v>5.5034000383476051E-11</v>
      </c>
      <c r="H591" s="5"/>
      <c r="I591" s="5"/>
      <c r="J591" s="5"/>
    </row>
    <row r="592" spans="1:10" x14ac:dyDescent="0.25">
      <c r="A592" s="22">
        <v>55.2</v>
      </c>
      <c r="B592" s="22">
        <v>9567.7056000000011</v>
      </c>
      <c r="C592" s="22">
        <v>0.82714264249398262</v>
      </c>
      <c r="D592" s="22">
        <v>50.773615195296074</v>
      </c>
      <c r="E592" s="22">
        <v>0.1085034712846209</v>
      </c>
      <c r="F592" s="22">
        <v>18164832242.370468</v>
      </c>
      <c r="G592" s="23">
        <v>5.5051430514587694E-11</v>
      </c>
      <c r="H592" s="5"/>
      <c r="I592" s="5"/>
      <c r="J592" s="5"/>
    </row>
    <row r="593" spans="1:10" x14ac:dyDescent="0.25">
      <c r="A593" s="22">
        <v>55.3</v>
      </c>
      <c r="B593" s="22">
        <v>9602.4025999999994</v>
      </c>
      <c r="C593" s="22">
        <v>0.82911428378511642</v>
      </c>
      <c r="D593" s="22">
        <v>50.664681978672284</v>
      </c>
      <c r="E593" s="22">
        <v>0.10893321662378952</v>
      </c>
      <c r="F593" s="22">
        <v>18158785693.729446</v>
      </c>
      <c r="G593" s="23">
        <v>5.5069761649608427E-11</v>
      </c>
      <c r="H593" s="5"/>
      <c r="I593" s="5"/>
      <c r="J593" s="5"/>
    </row>
    <row r="594" spans="1:10" x14ac:dyDescent="0.25">
      <c r="A594" s="22">
        <v>55.4</v>
      </c>
      <c r="B594" s="22">
        <v>9637.1623999999993</v>
      </c>
      <c r="C594" s="22">
        <v>0.8310901772691407</v>
      </c>
      <c r="D594" s="22">
        <v>50.555316238749803</v>
      </c>
      <c r="E594" s="22">
        <v>0.109365739922481</v>
      </c>
      <c r="F594" s="22">
        <v>18152443862.284103</v>
      </c>
      <c r="G594" s="23">
        <v>5.5089001105671017E-11</v>
      </c>
      <c r="H594" s="5"/>
      <c r="I594" s="5"/>
      <c r="J594" s="5"/>
    </row>
    <row r="595" spans="1:10" x14ac:dyDescent="0.25">
      <c r="A595" s="22">
        <v>55.5</v>
      </c>
      <c r="B595" s="22">
        <v>9671.9850000000006</v>
      </c>
      <c r="C595" s="22">
        <v>0.83307035834164778</v>
      </c>
      <c r="D595" s="22">
        <v>50.44551516240071</v>
      </c>
      <c r="E595" s="22">
        <v>0.10980107634909331</v>
      </c>
      <c r="F595" s="22">
        <v>18145804906.915676</v>
      </c>
      <c r="G595" s="23">
        <v>5.5109156365881729E-11</v>
      </c>
      <c r="H595" s="5"/>
      <c r="I595" s="5"/>
      <c r="J595" s="5"/>
    </row>
    <row r="596" spans="1:10" x14ac:dyDescent="0.25">
      <c r="A596" s="22">
        <v>55.6</v>
      </c>
      <c r="B596" s="22">
        <v>9706.8703999999998</v>
      </c>
      <c r="C596" s="22">
        <v>0.83505486285141239</v>
      </c>
      <c r="D596" s="22">
        <v>50.335275900704062</v>
      </c>
      <c r="E596" s="22">
        <v>0.11023926169664833</v>
      </c>
      <c r="F596" s="22">
        <v>18138866966.493801</v>
      </c>
      <c r="G596" s="23">
        <v>5.5130235082886083E-11</v>
      </c>
      <c r="H596" s="5"/>
      <c r="I596" s="5"/>
      <c r="J596" s="5"/>
    </row>
    <row r="597" spans="1:10" x14ac:dyDescent="0.25">
      <c r="A597" s="22">
        <v>55.7</v>
      </c>
      <c r="B597" s="22">
        <v>9741.8186000000023</v>
      </c>
      <c r="C597" s="22">
        <v>0.83704372710861541</v>
      </c>
      <c r="D597" s="22">
        <v>50.22459556830696</v>
      </c>
      <c r="E597" s="22">
        <v>0.11068033239710218</v>
      </c>
      <c r="F597" s="22">
        <v>18131628159.553146</v>
      </c>
      <c r="G597" s="23">
        <v>5.5152245082476087E-11</v>
      </c>
      <c r="H597" s="5"/>
      <c r="I597" s="5"/>
      <c r="J597" s="5"/>
    </row>
    <row r="598" spans="1:10" x14ac:dyDescent="0.25">
      <c r="A598" s="22">
        <v>55.8</v>
      </c>
      <c r="B598" s="22">
        <v>9776.8295999999991</v>
      </c>
      <c r="C598" s="22">
        <v>0.83903698789326264</v>
      </c>
      <c r="D598" s="22">
        <v>50.113471242770643</v>
      </c>
      <c r="E598" s="22">
        <v>0.11112432553631635</v>
      </c>
      <c r="F598" s="22">
        <v>18124086583.920811</v>
      </c>
      <c r="G598" s="23">
        <v>5.5175194367432143E-11</v>
      </c>
      <c r="H598" s="5"/>
      <c r="I598" s="5"/>
      <c r="J598" s="5"/>
    </row>
    <row r="599" spans="1:10" x14ac:dyDescent="0.25">
      <c r="A599" s="22">
        <v>55.9</v>
      </c>
      <c r="B599" s="22">
        <v>9811.9034000000011</v>
      </c>
      <c r="C599" s="22">
        <v>0.8410346824638002</v>
      </c>
      <c r="D599" s="22">
        <v>50.00189996390138</v>
      </c>
      <c r="E599" s="22">
        <v>0.11157127886926332</v>
      </c>
      <c r="F599" s="22">
        <v>18116240316.367237</v>
      </c>
      <c r="G599" s="23">
        <v>5.5199091121381484E-11</v>
      </c>
      <c r="H599" s="5"/>
      <c r="I599" s="5"/>
      <c r="J599" s="5"/>
    </row>
    <row r="600" spans="1:10" x14ac:dyDescent="0.25">
      <c r="A600" s="22">
        <v>56</v>
      </c>
      <c r="B600" s="22">
        <v>9847.0400000000009</v>
      </c>
      <c r="C600" s="22">
        <v>0.84303684856593353</v>
      </c>
      <c r="D600" s="22">
        <v>49.889878733065679</v>
      </c>
      <c r="E600" s="22">
        <v>0.11202123083570115</v>
      </c>
      <c r="F600" s="22">
        <v>18108087412.243652</v>
      </c>
      <c r="G600" s="23">
        <v>5.5223943712788642E-11</v>
      </c>
      <c r="H600" s="5"/>
      <c r="I600" s="5"/>
      <c r="J600" s="5"/>
    </row>
    <row r="601" spans="1:10" x14ac:dyDescent="0.25">
      <c r="A601" s="22">
        <v>56.1</v>
      </c>
      <c r="B601" s="22">
        <v>9882.2394000000022</v>
      </c>
      <c r="C601" s="22">
        <v>0.84504352444165465</v>
      </c>
      <c r="D601" s="22">
        <v>49.777404512489397</v>
      </c>
      <c r="E601" s="22">
        <v>0.11247422057628143</v>
      </c>
      <c r="F601" s="22">
        <v>18099625905.114277</v>
      </c>
      <c r="G601" s="23">
        <v>5.5249760699056074E-11</v>
      </c>
      <c r="H601" s="5"/>
      <c r="I601" s="5"/>
      <c r="J601" s="5"/>
    </row>
    <row r="602" spans="1:10" x14ac:dyDescent="0.25">
      <c r="A602" s="22">
        <v>56.2</v>
      </c>
      <c r="B602" s="22">
        <v>9917.5016000000014</v>
      </c>
      <c r="C602" s="22">
        <v>0.84705474883848886</v>
      </c>
      <c r="D602" s="22">
        <v>49.664474224540015</v>
      </c>
      <c r="E602" s="22">
        <v>0.11293028794938209</v>
      </c>
      <c r="F602" s="22">
        <v>18090853806.338665</v>
      </c>
      <c r="G602" s="23">
        <v>5.5276550830874576E-11</v>
      </c>
      <c r="H602" s="5"/>
      <c r="I602" s="5"/>
      <c r="J602" s="5"/>
    </row>
    <row r="603" spans="1:10" x14ac:dyDescent="0.25">
      <c r="A603" s="22">
        <v>56.3</v>
      </c>
      <c r="B603" s="22">
        <v>9952.8266000000003</v>
      </c>
      <c r="C603" s="22">
        <v>0.84907056101895861</v>
      </c>
      <c r="D603" s="22">
        <v>49.551084750992096</v>
      </c>
      <c r="E603" s="22">
        <v>0.11338947354791884</v>
      </c>
      <c r="F603" s="22">
        <v>18081769104.726841</v>
      </c>
      <c r="G603" s="23">
        <v>5.530432305645277E-11</v>
      </c>
      <c r="H603" s="5"/>
      <c r="I603" s="5"/>
      <c r="J603" s="5"/>
    </row>
    <row r="604" spans="1:10" x14ac:dyDescent="0.25">
      <c r="A604" s="22">
        <v>56.4</v>
      </c>
      <c r="B604" s="22">
        <v>9988.2144000000008</v>
      </c>
      <c r="C604" s="22">
        <v>0.85109100077028033</v>
      </c>
      <c r="D604" s="22">
        <v>49.437232932274839</v>
      </c>
      <c r="E604" s="22">
        <v>0.11385181871725791</v>
      </c>
      <c r="F604" s="22">
        <v>18072369766.088844</v>
      </c>
      <c r="G604" s="23">
        <v>5.5333086526173726E-11</v>
      </c>
      <c r="H604" s="5"/>
      <c r="I604" s="5"/>
      <c r="J604" s="5"/>
    </row>
    <row r="605" spans="1:10" x14ac:dyDescent="0.25">
      <c r="A605" s="22">
        <v>56.5</v>
      </c>
      <c r="B605" s="22">
        <v>10023.664999999999</v>
      </c>
      <c r="C605" s="22">
        <v>0.85311610841429164</v>
      </c>
      <c r="D605" s="22">
        <v>49.322915566701859</v>
      </c>
      <c r="E605" s="22">
        <v>0.11431736557297967</v>
      </c>
      <c r="F605" s="22">
        <v>18062653732.881844</v>
      </c>
      <c r="G605" s="23">
        <v>5.5362850597061907E-11</v>
      </c>
      <c r="H605" s="5"/>
      <c r="I605" s="5"/>
      <c r="J605" s="5"/>
    </row>
    <row r="606" spans="1:10" x14ac:dyDescent="0.25">
      <c r="A606" s="22">
        <v>56.6</v>
      </c>
      <c r="B606" s="22">
        <v>10059.178400000001</v>
      </c>
      <c r="C606" s="22">
        <v>0.85514592481762619</v>
      </c>
      <c r="D606" s="22">
        <v>49.208129409681895</v>
      </c>
      <c r="E606" s="22">
        <v>0.11478615701996375</v>
      </c>
      <c r="F606" s="22">
        <v>18052618923.722675</v>
      </c>
      <c r="G606" s="23">
        <v>5.5393624837774367E-11</v>
      </c>
      <c r="H606" s="5"/>
      <c r="I606" s="5"/>
      <c r="J606" s="5"/>
    </row>
    <row r="607" spans="1:10" x14ac:dyDescent="0.25">
      <c r="A607" s="22">
        <v>56.7</v>
      </c>
      <c r="B607" s="22">
        <v>10094.754600000002</v>
      </c>
      <c r="C607" s="22">
        <v>0.85718049140213348</v>
      </c>
      <c r="D607" s="22">
        <v>49.092871172910641</v>
      </c>
      <c r="E607" s="22">
        <v>0.11525823677125402</v>
      </c>
      <c r="F607" s="22">
        <v>18042263233.013844</v>
      </c>
      <c r="G607" s="23">
        <v>5.5425419033361288E-11</v>
      </c>
      <c r="H607" s="5"/>
      <c r="I607" s="5"/>
      <c r="J607" s="5"/>
    </row>
    <row r="608" spans="1:10" x14ac:dyDescent="0.25">
      <c r="A608" s="22">
        <v>56.8</v>
      </c>
      <c r="B608" s="22">
        <v>10130.393599999999</v>
      </c>
      <c r="C608" s="22">
        <v>0.85921985015555857</v>
      </c>
      <c r="D608" s="22">
        <v>48.977137523542559</v>
      </c>
      <c r="E608" s="22">
        <v>0.11573364936808161</v>
      </c>
      <c r="F608" s="22">
        <v>18031584530.467064</v>
      </c>
      <c r="G608" s="23">
        <v>5.5458243190461168E-11</v>
      </c>
      <c r="H608" s="5"/>
      <c r="I608" s="5"/>
      <c r="J608" s="5"/>
    </row>
    <row r="609" spans="1:10" x14ac:dyDescent="0.25">
      <c r="A609" s="22">
        <v>56.9</v>
      </c>
      <c r="B609" s="22">
        <v>10166.0954</v>
      </c>
      <c r="C609" s="22">
        <v>0.86126404364248554</v>
      </c>
      <c r="D609" s="22">
        <v>48.860925083342416</v>
      </c>
      <c r="E609" s="22">
        <v>0.11621244020014387</v>
      </c>
      <c r="F609" s="22">
        <v>18020580660.670158</v>
      </c>
      <c r="G609" s="23">
        <v>5.5492107542488674E-11</v>
      </c>
      <c r="H609" s="5"/>
      <c r="I609" s="5"/>
      <c r="J609" s="5"/>
    </row>
    <row r="610" spans="1:10" x14ac:dyDescent="0.25">
      <c r="A610" s="22">
        <v>57</v>
      </c>
      <c r="B610" s="22">
        <v>10201.86</v>
      </c>
      <c r="C610" s="22">
        <v>0.86331311501555363</v>
      </c>
      <c r="D610" s="22">
        <v>48.744230427815765</v>
      </c>
      <c r="E610" s="22">
        <v>0.11669465552665059</v>
      </c>
      <c r="F610" s="22">
        <v>18009249442.619446</v>
      </c>
      <c r="G610" s="23">
        <v>5.5527022555058238E-11</v>
      </c>
      <c r="H610" s="5"/>
      <c r="I610" s="5"/>
      <c r="J610" s="5"/>
    </row>
    <row r="611" spans="1:10" x14ac:dyDescent="0.25">
      <c r="A611" s="22">
        <v>57.1</v>
      </c>
      <c r="B611" s="22">
        <v>10237.687400000001</v>
      </c>
      <c r="C611" s="22">
        <v>0.86536710802695516</v>
      </c>
      <c r="D611" s="22">
        <v>48.627050085317748</v>
      </c>
      <c r="E611" s="22">
        <v>0.1171803424980169</v>
      </c>
      <c r="F611" s="22">
        <v>17997588669.240246</v>
      </c>
      <c r="G611" s="23">
        <v>5.5562998931579328E-11</v>
      </c>
      <c r="H611" s="5"/>
      <c r="I611" s="5"/>
      <c r="J611" s="5"/>
    </row>
    <row r="612" spans="1:10" x14ac:dyDescent="0.25">
      <c r="A612" s="22">
        <v>57.2</v>
      </c>
      <c r="B612" s="22">
        <v>10273.577600000001</v>
      </c>
      <c r="C612" s="22">
        <v>0.86742606704022396</v>
      </c>
      <c r="D612" s="22">
        <v>48.509380536139602</v>
      </c>
      <c r="E612" s="22">
        <v>0.11766954917814587</v>
      </c>
      <c r="F612" s="22">
        <v>17985596106.907322</v>
      </c>
      <c r="G612" s="23">
        <v>5.5600047618991765E-11</v>
      </c>
      <c r="H612" s="5"/>
      <c r="I612" s="5"/>
      <c r="J612" s="5"/>
    </row>
    <row r="613" spans="1:10" x14ac:dyDescent="0.25">
      <c r="A613" s="22">
        <v>57.3</v>
      </c>
      <c r="B613" s="22">
        <v>10309.5306</v>
      </c>
      <c r="C613" s="22">
        <v>0.86949003704232031</v>
      </c>
      <c r="D613" s="22">
        <v>48.391218211572237</v>
      </c>
      <c r="E613" s="22">
        <v>0.11816232456736486</v>
      </c>
      <c r="F613" s="22">
        <v>17973269494.958462</v>
      </c>
      <c r="G613" s="23">
        <v>5.5638179813667289E-11</v>
      </c>
      <c r="H613" s="5"/>
      <c r="I613" s="5"/>
      <c r="J613" s="5"/>
    </row>
    <row r="614" spans="1:10" x14ac:dyDescent="0.25">
      <c r="A614" s="22">
        <v>57.4</v>
      </c>
      <c r="B614" s="22">
        <v>10345.546399999999</v>
      </c>
      <c r="C614" s="22">
        <v>0.87155906365602764</v>
      </c>
      <c r="D614" s="22">
        <v>48.272559492945888</v>
      </c>
      <c r="E614" s="22">
        <v>0.11865871862634947</v>
      </c>
      <c r="F614" s="22">
        <v>17960606545.154007</v>
      </c>
      <c r="G614" s="23">
        <v>5.5677406967628957E-11</v>
      </c>
      <c r="H614" s="5"/>
      <c r="I614" s="5"/>
      <c r="J614" s="5"/>
    </row>
    <row r="615" spans="1:10" x14ac:dyDescent="0.25">
      <c r="A615" s="22">
        <v>57.5</v>
      </c>
      <c r="B615" s="22">
        <v>10381.625</v>
      </c>
      <c r="C615" s="22">
        <v>0.87363319315266441</v>
      </c>
      <c r="D615" s="22">
        <v>48.153400710645549</v>
      </c>
      <c r="E615" s="22">
        <v>0.11915878230033883</v>
      </c>
      <c r="F615" s="22">
        <v>17947604941.192142</v>
      </c>
      <c r="G615" s="23">
        <v>5.5717740794754561E-11</v>
      </c>
      <c r="H615" s="5"/>
      <c r="I615" s="5"/>
      <c r="J615" s="5"/>
    </row>
    <row r="616" spans="1:10" x14ac:dyDescent="0.25">
      <c r="A616" s="22">
        <v>57.6</v>
      </c>
      <c r="B616" s="22">
        <v>10417.7664</v>
      </c>
      <c r="C616" s="22">
        <v>0.87571247246512407</v>
      </c>
      <c r="D616" s="22">
        <v>48.03373814310104</v>
      </c>
      <c r="E616" s="22">
        <v>0.1196625675445091</v>
      </c>
      <c r="F616" s="22">
        <v>17934262338.151505</v>
      </c>
      <c r="G616" s="23">
        <v>5.5759193277367362E-11</v>
      </c>
      <c r="H616" s="5"/>
      <c r="I616" s="5"/>
      <c r="J616" s="5"/>
    </row>
    <row r="617" spans="1:10" x14ac:dyDescent="0.25">
      <c r="A617" s="22">
        <v>57.7</v>
      </c>
      <c r="B617" s="22">
        <v>10453.970600000002</v>
      </c>
      <c r="C617" s="22">
        <v>0.87779694920125573</v>
      </c>
      <c r="D617" s="22">
        <v>47.913568015751018</v>
      </c>
      <c r="E617" s="22">
        <v>0.12017012735002197</v>
      </c>
      <c r="F617" s="22">
        <v>17920576361.938976</v>
      </c>
      <c r="G617" s="23">
        <v>5.5801776672979821E-11</v>
      </c>
      <c r="H617" s="5"/>
      <c r="I617" s="5"/>
      <c r="J617" s="5"/>
    </row>
    <row r="618" spans="1:10" x14ac:dyDescent="0.25">
      <c r="A618" s="22">
        <v>57.8</v>
      </c>
      <c r="B618" s="22">
        <v>10490.237599999999</v>
      </c>
      <c r="C618" s="22">
        <v>0.87988667165758971</v>
      </c>
      <c r="D618" s="22">
        <v>47.792886499980312</v>
      </c>
      <c r="E618" s="22">
        <v>0.12068151577070552</v>
      </c>
      <c r="F618" s="22">
        <v>17906544608.752445</v>
      </c>
      <c r="G618" s="23">
        <v>5.5845503521165961E-11</v>
      </c>
      <c r="H618" s="5"/>
      <c r="I618" s="5"/>
      <c r="J618" s="5"/>
    </row>
    <row r="619" spans="1:10" x14ac:dyDescent="0.25">
      <c r="A619" s="22">
        <v>57.9</v>
      </c>
      <c r="B619" s="22">
        <v>10526.5674</v>
      </c>
      <c r="C619" s="22">
        <v>0.88198168883342909</v>
      </c>
      <c r="D619" s="22">
        <v>47.671689712029298</v>
      </c>
      <c r="E619" s="22">
        <v>0.12119678795101407</v>
      </c>
      <c r="F619" s="22">
        <v>17892164644.46619</v>
      </c>
      <c r="G619" s="23">
        <v>5.5890386650856509E-11</v>
      </c>
      <c r="H619" s="5"/>
      <c r="I619" s="5"/>
      <c r="J619" s="5"/>
    </row>
    <row r="620" spans="1:10" x14ac:dyDescent="0.25">
      <c r="A620" s="22">
        <v>58</v>
      </c>
      <c r="B620" s="22">
        <v>10562.960000000001</v>
      </c>
      <c r="C620" s="22">
        <v>0.88408205044530652</v>
      </c>
      <c r="D620" s="22">
        <v>47.549973711874955</v>
      </c>
      <c r="E620" s="22">
        <v>0.12171600015434336</v>
      </c>
      <c r="F620" s="22">
        <v>17877434004.081112</v>
      </c>
      <c r="G620" s="23">
        <v>5.5936439187621509E-11</v>
      </c>
      <c r="H620" s="5"/>
      <c r="I620" s="5"/>
      <c r="J620" s="5"/>
    </row>
    <row r="621" spans="1:10" x14ac:dyDescent="0.25">
      <c r="A621" s="22">
        <v>58.1</v>
      </c>
      <c r="B621" s="22">
        <v>10599.4154</v>
      </c>
      <c r="C621" s="22">
        <v>0.88618780694183052</v>
      </c>
      <c r="D621" s="22">
        <v>47.42773450208221</v>
      </c>
      <c r="E621" s="22">
        <v>0.12223920979274538</v>
      </c>
      <c r="F621" s="22">
        <v>17862350191.088886</v>
      </c>
      <c r="G621" s="23">
        <v>5.5983674561417839E-11</v>
      </c>
      <c r="H621" s="5"/>
      <c r="I621" s="5"/>
      <c r="J621" s="5"/>
    </row>
    <row r="622" spans="1:10" x14ac:dyDescent="0.25">
      <c r="A622" s="22">
        <v>58.2</v>
      </c>
      <c r="B622" s="22">
        <v>10635.933600000002</v>
      </c>
      <c r="C622" s="22">
        <v>0.88829900951892482</v>
      </c>
      <c r="D622" s="22">
        <v>47.304968026624856</v>
      </c>
      <c r="E622" s="22">
        <v>0.12276647545735386</v>
      </c>
      <c r="F622" s="22">
        <v>17846910676.857399</v>
      </c>
      <c r="G622" s="23">
        <v>5.6032106514475283E-11</v>
      </c>
      <c r="H622" s="5"/>
      <c r="I622" s="5"/>
      <c r="J622" s="5"/>
    </row>
    <row r="623" spans="1:10" x14ac:dyDescent="0.25">
      <c r="A623" s="22">
        <v>58.3</v>
      </c>
      <c r="B623" s="22">
        <v>10672.5146</v>
      </c>
      <c r="C623" s="22">
        <v>0.8904157101354796</v>
      </c>
      <c r="D623" s="22">
        <v>47.181670169675002</v>
      </c>
      <c r="E623" s="22">
        <v>0.12329785694985418</v>
      </c>
      <c r="F623" s="22">
        <v>17831112899.992702</v>
      </c>
      <c r="G623" s="23">
        <v>5.6081749109468614E-11</v>
      </c>
      <c r="H623" s="5"/>
      <c r="I623" s="5"/>
      <c r="J623" s="5"/>
    </row>
    <row r="624" spans="1:10" x14ac:dyDescent="0.25">
      <c r="A624" s="22">
        <v>58.4</v>
      </c>
      <c r="B624" s="22">
        <v>10709.1584</v>
      </c>
      <c r="C624" s="22">
        <v>0.89253796152942366</v>
      </c>
      <c r="D624" s="22">
        <v>47.057836754360061</v>
      </c>
      <c r="E624" s="22">
        <v>0.12383341531494096</v>
      </c>
      <c r="F624" s="22">
        <v>17814954265.691059</v>
      </c>
      <c r="G624" s="23">
        <v>5.6132616737941934E-11</v>
      </c>
      <c r="H624" s="5"/>
      <c r="I624" s="5"/>
      <c r="J624" s="5"/>
    </row>
    <row r="625" spans="1:10" x14ac:dyDescent="0.25">
      <c r="A625" s="22">
        <v>58.5</v>
      </c>
      <c r="B625" s="22">
        <v>10745.865</v>
      </c>
      <c r="C625" s="22">
        <v>0.89466581723423533</v>
      </c>
      <c r="D625" s="22">
        <v>46.933463541486041</v>
      </c>
      <c r="E625" s="22">
        <v>0.12437321287401915</v>
      </c>
      <c r="F625" s="22">
        <v>17798432145.049286</v>
      </c>
      <c r="G625" s="23">
        <v>5.6184724129094401E-11</v>
      </c>
      <c r="H625" s="5"/>
      <c r="I625" s="5"/>
      <c r="J625" s="5"/>
    </row>
    <row r="626" spans="1:10" x14ac:dyDescent="0.25">
      <c r="A626" s="22">
        <v>58.6</v>
      </c>
      <c r="B626" s="22">
        <v>10782.634400000001</v>
      </c>
      <c r="C626" s="22">
        <v>0.89679933159590275</v>
      </c>
      <c r="D626" s="22">
        <v>46.808546228226319</v>
      </c>
      <c r="E626" s="22">
        <v>0.12491731325972211</v>
      </c>
      <c r="F626" s="22">
        <v>17781543874.400661</v>
      </c>
      <c r="G626" s="23">
        <v>5.6238086358724894E-11</v>
      </c>
      <c r="H626" s="5"/>
      <c r="I626" s="5"/>
      <c r="J626" s="5"/>
    </row>
    <row r="627" spans="1:10" x14ac:dyDescent="0.25">
      <c r="A627" s="22">
        <v>58.7</v>
      </c>
      <c r="B627" s="22">
        <v>10819.466600000002</v>
      </c>
      <c r="C627" s="22">
        <v>0.89893855979035531</v>
      </c>
      <c r="D627" s="22">
        <v>46.683080446774284</v>
      </c>
      <c r="E627" s="22">
        <v>0.12546578145203569</v>
      </c>
      <c r="F627" s="22">
        <v>17764286754.568634</v>
      </c>
      <c r="G627" s="23">
        <v>5.6292718858685343E-11</v>
      </c>
      <c r="H627" s="5"/>
      <c r="I627" s="5"/>
      <c r="J627" s="5"/>
    </row>
    <row r="628" spans="1:10" x14ac:dyDescent="0.25">
      <c r="A628" s="22">
        <v>58.8</v>
      </c>
      <c r="B628" s="22">
        <v>10856.3616</v>
      </c>
      <c r="C628" s="22">
        <v>0.90108355784137162</v>
      </c>
      <c r="D628" s="22">
        <v>46.557061762959229</v>
      </c>
      <c r="E628" s="22">
        <v>0.12601868381505454</v>
      </c>
      <c r="F628" s="22">
        <v>17746658050.183762</v>
      </c>
      <c r="G628" s="23">
        <v>5.6348637426393937E-11</v>
      </c>
      <c r="H628" s="5"/>
      <c r="I628" s="5"/>
      <c r="J628" s="5"/>
    </row>
    <row r="629" spans="1:10" x14ac:dyDescent="0.25">
      <c r="A629" s="22">
        <v>58.9</v>
      </c>
      <c r="B629" s="22">
        <v>10893.3194</v>
      </c>
      <c r="C629" s="22">
        <v>0.90323438263899336</v>
      </c>
      <c r="D629" s="22">
        <v>46.430485674823608</v>
      </c>
      <c r="E629" s="22">
        <v>0.12657608813562149</v>
      </c>
      <c r="F629" s="22">
        <v>17728654988.891846</v>
      </c>
      <c r="G629" s="23">
        <v>5.6405858234962833E-11</v>
      </c>
      <c r="H629" s="5"/>
      <c r="I629" s="5"/>
      <c r="J629" s="5"/>
    </row>
    <row r="630" spans="1:10" x14ac:dyDescent="0.25">
      <c r="A630" s="22">
        <v>59</v>
      </c>
      <c r="B630" s="22">
        <v>10930.340000000002</v>
      </c>
      <c r="C630" s="22">
        <v>0.90539109195844913</v>
      </c>
      <c r="D630" s="22">
        <v>46.303347611160902</v>
      </c>
      <c r="E630" s="22">
        <v>0.12713806366270575</v>
      </c>
      <c r="F630" s="22">
        <v>17710274760.622234</v>
      </c>
      <c r="G630" s="23">
        <v>5.6464397843416963E-11</v>
      </c>
      <c r="H630" s="5"/>
      <c r="I630" s="5"/>
      <c r="J630" s="5"/>
    </row>
    <row r="631" spans="1:10" x14ac:dyDescent="0.25">
      <c r="A631" s="22">
        <v>59.1</v>
      </c>
      <c r="B631" s="22">
        <v>10967.423400000001</v>
      </c>
      <c r="C631" s="22">
        <v>0.90755374447961668</v>
      </c>
      <c r="D631" s="22">
        <v>46.175642930012359</v>
      </c>
      <c r="E631" s="22">
        <v>0.12770468114854339</v>
      </c>
      <c r="F631" s="22">
        <v>17691514516.778305</v>
      </c>
      <c r="G631" s="23">
        <v>5.6524273207453124E-11</v>
      </c>
      <c r="H631" s="5"/>
      <c r="I631" s="5"/>
      <c r="J631" s="5"/>
    </row>
    <row r="632" spans="1:10" x14ac:dyDescent="0.25">
      <c r="A632" s="22">
        <v>59.2</v>
      </c>
      <c r="B632" s="22">
        <v>11004.569600000001</v>
      </c>
      <c r="C632" s="22">
        <v>0.90972239980703529</v>
      </c>
      <c r="D632" s="22">
        <v>46.04736691712133</v>
      </c>
      <c r="E632" s="22">
        <v>0.1282760128910283</v>
      </c>
      <c r="F632" s="22">
        <v>17672371369.429676</v>
      </c>
      <c r="G632" s="23">
        <v>5.6585501690499617E-11</v>
      </c>
      <c r="H632" s="5"/>
      <c r="I632" s="5"/>
      <c r="J632" s="5"/>
    </row>
    <row r="633" spans="1:10" x14ac:dyDescent="0.25">
      <c r="A633" s="22">
        <v>59.3</v>
      </c>
      <c r="B633" s="22">
        <v>11041.7786</v>
      </c>
      <c r="C633" s="22">
        <v>0.91189711849049071</v>
      </c>
      <c r="D633" s="22">
        <v>45.918514784343806</v>
      </c>
      <c r="E633" s="22">
        <v>0.12885213277752428</v>
      </c>
      <c r="F633" s="22">
        <v>17652842390.489017</v>
      </c>
      <c r="G633" s="23">
        <v>5.6648101075143519E-11</v>
      </c>
      <c r="H633" s="5"/>
      <c r="I633" s="5"/>
      <c r="J633" s="5"/>
    </row>
    <row r="634" spans="1:10" x14ac:dyDescent="0.25">
      <c r="A634" s="22">
        <v>59.4</v>
      </c>
      <c r="B634" s="22">
        <v>11079.0504</v>
      </c>
      <c r="C634" s="22">
        <v>0.9140779620461924</v>
      </c>
      <c r="D634" s="22">
        <v>45.789081668013395</v>
      </c>
      <c r="E634" s="22">
        <v>0.12943311633041077</v>
      </c>
      <c r="F634" s="22">
        <v>17632924610.838326</v>
      </c>
      <c r="G634" s="23">
        <v>5.6712089575051885E-11</v>
      </c>
      <c r="H634" s="5"/>
      <c r="I634" s="5"/>
      <c r="J634" s="5"/>
    </row>
    <row r="635" spans="1:10" x14ac:dyDescent="0.25">
      <c r="A635" s="22">
        <v>59.5</v>
      </c>
      <c r="B635" s="22">
        <v>11116.385</v>
      </c>
      <c r="C635" s="22">
        <v>0.91626499297856245</v>
      </c>
      <c r="D635" s="22">
        <v>45.659062627259438</v>
      </c>
      <c r="E635" s="22">
        <v>0.13001904075395743</v>
      </c>
      <c r="F635" s="22">
        <v>17612615019.468212</v>
      </c>
      <c r="G635" s="23">
        <v>5.6777485847197807E-11</v>
      </c>
      <c r="H635" s="5"/>
      <c r="I635" s="5"/>
      <c r="J635" s="5"/>
    </row>
    <row r="636" spans="1:10" x14ac:dyDescent="0.25">
      <c r="A636" s="22">
        <v>59.6</v>
      </c>
      <c r="B636" s="22">
        <v>11153.7824</v>
      </c>
      <c r="C636" s="22">
        <v>0.9184582748026594</v>
      </c>
      <c r="D636" s="22">
        <v>45.528452642276349</v>
      </c>
      <c r="E636" s="22">
        <v>0.13060998498308862</v>
      </c>
      <c r="F636" s="22">
        <v>17591910562.561535</v>
      </c>
      <c r="G636" s="23">
        <v>5.684430900462646E-11</v>
      </c>
      <c r="H636" s="5"/>
      <c r="I636" s="5"/>
      <c r="J636" s="5"/>
    </row>
    <row r="637" spans="1:10" x14ac:dyDescent="0.25">
      <c r="A637" s="22">
        <v>59.7</v>
      </c>
      <c r="B637" s="22">
        <v>11191.242600000001</v>
      </c>
      <c r="C637" s="22">
        <v>0.9206578720672608</v>
      </c>
      <c r="D637" s="22">
        <v>45.397246612542482</v>
      </c>
      <c r="E637" s="22">
        <v>0.13120602973386752</v>
      </c>
      <c r="F637" s="22">
        <v>17570808142.553837</v>
      </c>
      <c r="G637" s="23">
        <v>5.6912578629673349E-11</v>
      </c>
      <c r="H637" s="5"/>
      <c r="I637" s="5"/>
      <c r="J637" s="5"/>
    </row>
    <row r="638" spans="1:10" x14ac:dyDescent="0.25">
      <c r="A638" s="22">
        <v>59.8</v>
      </c>
      <c r="B638" s="22">
        <v>11228.765599999999</v>
      </c>
      <c r="C638" s="22">
        <v>0.92286385037862406</v>
      </c>
      <c r="D638" s="22">
        <v>45.265439354986938</v>
      </c>
      <c r="E638" s="22">
        <v>0.13180725755554334</v>
      </c>
      <c r="F638" s="22">
        <v>17549304617.200253</v>
      </c>
      <c r="G638" s="23">
        <v>5.6982314787555163E-11</v>
      </c>
      <c r="H638" s="5"/>
      <c r="I638" s="5"/>
      <c r="J638" s="5"/>
    </row>
    <row r="639" spans="1:10" x14ac:dyDescent="0.25">
      <c r="A639" s="22">
        <v>59.9</v>
      </c>
      <c r="B639" s="22">
        <v>11266.351400000001</v>
      </c>
      <c r="C639" s="22">
        <v>0.92507627642495627</v>
      </c>
      <c r="D639" s="22">
        <v>45.133025602102059</v>
      </c>
      <c r="E639" s="22">
        <v>0.13241375288487944</v>
      </c>
      <c r="F639" s="22">
        <v>17527396798.561882</v>
      </c>
      <c r="G639" s="23">
        <v>5.7053538040631893E-11</v>
      </c>
      <c r="H639" s="5"/>
      <c r="I639" s="5"/>
      <c r="J639" s="5"/>
    </row>
    <row r="640" spans="1:10" x14ac:dyDescent="0.25">
      <c r="A640" s="22">
        <v>60</v>
      </c>
      <c r="B640" s="22">
        <v>11304</v>
      </c>
      <c r="C640" s="22">
        <v>0.9272952180016123</v>
      </c>
      <c r="D640" s="22">
        <v>45</v>
      </c>
      <c r="E640" s="22">
        <v>0.13302560210205883</v>
      </c>
      <c r="F640" s="22">
        <v>17505081452.015919</v>
      </c>
      <c r="G640" s="23">
        <v>5.7126269463021442E-11</v>
      </c>
      <c r="H640" s="5"/>
      <c r="I640" s="5"/>
      <c r="J640" s="5"/>
    </row>
    <row r="641" spans="1:10" x14ac:dyDescent="0.25">
      <c r="A641" s="22">
        <v>60.1</v>
      </c>
      <c r="B641" s="22">
        <v>11341.7114</v>
      </c>
      <c r="C641" s="22">
        <v>0.9295207440370532</v>
      </c>
      <c r="D641" s="22">
        <v>44.866357106411037</v>
      </c>
      <c r="E641" s="22">
        <v>0.13364289358896286</v>
      </c>
      <c r="F641" s="22">
        <v>17482355295.193604</v>
      </c>
      <c r="G641" s="23">
        <v>5.7200530655896713E-11</v>
      </c>
      <c r="H641" s="5"/>
      <c r="I641" s="5"/>
      <c r="J641" s="5"/>
    </row>
    <row r="642" spans="1:10" x14ac:dyDescent="0.25">
      <c r="A642" s="22">
        <v>60.2</v>
      </c>
      <c r="B642" s="22">
        <v>11379.485600000002</v>
      </c>
      <c r="C642" s="22">
        <v>0.93175292461959158</v>
      </c>
      <c r="D642" s="22">
        <v>44.732091388621647</v>
      </c>
      <c r="E642" s="22">
        <v>0.13426571778938978</v>
      </c>
      <c r="F642" s="22">
        <v>17459214996.914474</v>
      </c>
      <c r="G642" s="23">
        <v>5.7276343763263562E-11</v>
      </c>
      <c r="H642" s="5"/>
      <c r="I642" s="5"/>
      <c r="J642" s="5"/>
    </row>
    <row r="643" spans="1:10" x14ac:dyDescent="0.25">
      <c r="A643" s="22">
        <v>60.3</v>
      </c>
      <c r="B643" s="22">
        <v>11417.322599999998</v>
      </c>
      <c r="C643" s="22">
        <v>0.93399183102494954</v>
      </c>
      <c r="D643" s="22">
        <v>44.597197221350143</v>
      </c>
      <c r="E643" s="22">
        <v>0.13489416727150427</v>
      </c>
      <c r="F643" s="22">
        <v>17435657176.08934</v>
      </c>
      <c r="G643" s="23">
        <v>5.7353731488329877E-11</v>
      </c>
      <c r="H643" s="5"/>
      <c r="I643" s="5"/>
      <c r="J643" s="5"/>
    </row>
    <row r="644" spans="1:10" x14ac:dyDescent="0.25">
      <c r="A644" s="22">
        <v>60.4</v>
      </c>
      <c r="B644" s="22">
        <v>11455.222400000001</v>
      </c>
      <c r="C644" s="22">
        <v>0.93623753574466839</v>
      </c>
      <c r="D644" s="22">
        <v>44.46166888455717</v>
      </c>
      <c r="E644" s="22">
        <v>0.13552833679297294</v>
      </c>
      <c r="F644" s="22">
        <v>17411678400.545036</v>
      </c>
      <c r="G644" s="23">
        <v>5.7432717110643227E-11</v>
      </c>
      <c r="H644" s="5"/>
      <c r="I644" s="5"/>
      <c r="J644" s="5"/>
    </row>
    <row r="645" spans="1:10" x14ac:dyDescent="0.25">
      <c r="A645" s="22">
        <v>60.5</v>
      </c>
      <c r="B645" s="22">
        <v>11493.184999999999</v>
      </c>
      <c r="C645" s="22">
        <v>0.93849011251539005</v>
      </c>
      <c r="D645" s="22">
        <v>44.325500561189379</v>
      </c>
      <c r="E645" s="22">
        <v>0.13616832336779083</v>
      </c>
      <c r="F645" s="22">
        <v>17387275185.911774</v>
      </c>
      <c r="G645" s="23">
        <v>5.7513324503557678E-11</v>
      </c>
      <c r="H645" s="5"/>
      <c r="I645" s="5"/>
      <c r="J645" s="5"/>
    </row>
    <row r="646" spans="1:10" x14ac:dyDescent="0.25">
      <c r="A646" s="22">
        <v>60.6</v>
      </c>
      <c r="B646" s="22">
        <v>11531.210400000002</v>
      </c>
      <c r="C646" s="22">
        <v>0.94074963634905651</v>
      </c>
      <c r="D646" s="22">
        <v>44.188686334852719</v>
      </c>
      <c r="E646" s="22">
        <v>0.13681422633666074</v>
      </c>
      <c r="F646" s="22">
        <v>17362443994.345642</v>
      </c>
      <c r="G646" s="23">
        <v>5.7595578152803026E-11</v>
      </c>
      <c r="H646" s="5"/>
      <c r="I646" s="5"/>
      <c r="J646" s="5"/>
    </row>
    <row r="647" spans="1:10" x14ac:dyDescent="0.25">
      <c r="A647" s="22">
        <v>60.7</v>
      </c>
      <c r="B647" s="22">
        <v>11569.298600000002</v>
      </c>
      <c r="C647" s="22">
        <v>0.94301618356405048</v>
      </c>
      <c r="D647" s="22">
        <v>44.051220187413655</v>
      </c>
      <c r="E647" s="22">
        <v>0.13746614743906349</v>
      </c>
      <c r="F647" s="22">
        <v>17337181233.339413</v>
      </c>
      <c r="G647" s="23">
        <v>5.7679503175348899E-11</v>
      </c>
      <c r="H647" s="5"/>
      <c r="I647" s="5"/>
      <c r="J647" s="5"/>
    </row>
    <row r="648" spans="1:10" x14ac:dyDescent="0.25">
      <c r="A648" s="22">
        <v>60.8</v>
      </c>
      <c r="B648" s="22">
        <v>11607.4496</v>
      </c>
      <c r="C648" s="22">
        <v>0.9452898318173244</v>
      </c>
      <c r="D648" s="22">
        <v>43.913095996524774</v>
      </c>
      <c r="E648" s="22">
        <v>0.13812419088888106</v>
      </c>
      <c r="F648" s="22">
        <v>17311483254.397007</v>
      </c>
      <c r="G648" s="23">
        <v>5.7765125339332572E-11</v>
      </c>
      <c r="H648" s="5"/>
      <c r="I648" s="5"/>
      <c r="J648" s="5"/>
    </row>
    <row r="649" spans="1:10" x14ac:dyDescent="0.25">
      <c r="A649" s="22">
        <v>60.9</v>
      </c>
      <c r="B649" s="22">
        <v>11645.663399999999</v>
      </c>
      <c r="C649" s="22">
        <v>0.94757066013754621</v>
      </c>
      <c r="D649" s="22">
        <v>43.774307533072417</v>
      </c>
      <c r="E649" s="22">
        <v>0.13878846345235729</v>
      </c>
      <c r="F649" s="22">
        <v>17285346351.741409</v>
      </c>
      <c r="G649" s="23">
        <v>5.7852471084518081E-11</v>
      </c>
      <c r="H649" s="5"/>
      <c r="I649" s="5"/>
      <c r="J649" s="5"/>
    </row>
    <row r="650" spans="1:10" x14ac:dyDescent="0.25">
      <c r="A650" s="22">
        <v>61</v>
      </c>
      <c r="B650" s="22">
        <v>11683.94</v>
      </c>
      <c r="C650" s="22">
        <v>0.94985874895930933</v>
      </c>
      <c r="D650" s="22">
        <v>43.634848458542855</v>
      </c>
      <c r="E650" s="22">
        <v>0.13945907452956163</v>
      </c>
      <c r="F650" s="22">
        <v>17258766760.923847</v>
      </c>
      <c r="G650" s="23">
        <v>5.7941567543755999E-11</v>
      </c>
      <c r="H650" s="5"/>
      <c r="I650" s="5"/>
      <c r="J650" s="5"/>
    </row>
    <row r="651" spans="1:10" x14ac:dyDescent="0.25">
      <c r="A651" s="22">
        <v>61.1</v>
      </c>
      <c r="B651" s="22">
        <v>11722.279400000001</v>
      </c>
      <c r="C651" s="22">
        <v>0.95215418015844389</v>
      </c>
      <c r="D651" s="22">
        <v>43.494712322304188</v>
      </c>
      <c r="E651" s="22">
        <v>0.14013613623866661</v>
      </c>
      <c r="F651" s="22">
        <v>17231740657.437271</v>
      </c>
      <c r="G651" s="23">
        <v>5.8032442565133258E-11</v>
      </c>
      <c r="H651" s="5"/>
      <c r="I651" s="5"/>
      <c r="J651" s="5"/>
    </row>
    <row r="652" spans="1:10" x14ac:dyDescent="0.25">
      <c r="A652" s="22">
        <v>61.2</v>
      </c>
      <c r="B652" s="22">
        <v>11760.681600000002</v>
      </c>
      <c r="C652" s="22">
        <v>0.95445703708847718</v>
      </c>
      <c r="D652" s="22">
        <v>43.353892558800297</v>
      </c>
      <c r="E652" s="22">
        <v>0.14081976350389169</v>
      </c>
      <c r="F652" s="22">
        <v>17204264155.244423</v>
      </c>
      <c r="G652" s="23">
        <v>5.8125124735146973E-11</v>
      </c>
      <c r="H652" s="5"/>
      <c r="I652" s="5"/>
      <c r="J652" s="5"/>
    </row>
    <row r="653" spans="1:10" x14ac:dyDescent="0.25">
      <c r="A653" s="22">
        <v>61.3</v>
      </c>
      <c r="B653" s="22">
        <v>11799.1466</v>
      </c>
      <c r="C653" s="22">
        <v>0.95676740461828336</v>
      </c>
      <c r="D653" s="22">
        <v>43.212382484653638</v>
      </c>
      <c r="E653" s="22">
        <v>0.14151007414665884</v>
      </c>
      <c r="F653" s="22">
        <v>17176333305.294849</v>
      </c>
      <c r="G653" s="23">
        <v>5.8219643402689191E-11</v>
      </c>
      <c r="H653" s="5"/>
      <c r="I653" s="5"/>
      <c r="J653" s="5"/>
    </row>
    <row r="654" spans="1:10" x14ac:dyDescent="0.25">
      <c r="A654" s="22">
        <v>61.4</v>
      </c>
      <c r="B654" s="22">
        <v>11837.6744</v>
      </c>
      <c r="C654" s="22">
        <v>0.95908536917097864</v>
      </c>
      <c r="D654" s="22">
        <v>43.070175295672989</v>
      </c>
      <c r="E654" s="22">
        <v>0.14220718898064888</v>
      </c>
      <c r="F654" s="22">
        <v>17147944093.96442</v>
      </c>
      <c r="G654" s="23">
        <v>5.8316028704104015E-11</v>
      </c>
      <c r="H654" s="5"/>
      <c r="I654" s="5"/>
      <c r="J654" s="5"/>
    </row>
    <row r="655" spans="1:10" x14ac:dyDescent="0.25">
      <c r="A655" s="22">
        <v>61.5</v>
      </c>
      <c r="B655" s="22">
        <v>11876.265000000001</v>
      </c>
      <c r="C655" s="22">
        <v>0.96141101876410151</v>
      </c>
      <c r="D655" s="22">
        <v>42.927264063762564</v>
      </c>
      <c r="E655" s="22">
        <v>0.14291123191042487</v>
      </c>
      <c r="F655" s="22">
        <v>17119092441.477556</v>
      </c>
      <c r="G655" s="23">
        <v>5.8414311589153933E-11</v>
      </c>
      <c r="H655" s="5"/>
      <c r="I655" s="5"/>
      <c r="J655" s="5"/>
    </row>
    <row r="656" spans="1:10" x14ac:dyDescent="0.25">
      <c r="A656" s="22">
        <v>61.6</v>
      </c>
      <c r="B656" s="22">
        <v>11914.9184</v>
      </c>
      <c r="C656" s="22">
        <v>0.96374444305114293</v>
      </c>
      <c r="D656" s="22">
        <v>42.783641733728096</v>
      </c>
      <c r="E656" s="22">
        <v>0.14362233003446789</v>
      </c>
      <c r="F656" s="22">
        <v>17089774200.230227</v>
      </c>
      <c r="G656" s="23">
        <v>5.8514523848216107E-11</v>
      </c>
      <c r="H656" s="5"/>
      <c r="I656" s="5"/>
      <c r="J656" s="5"/>
    </row>
    <row r="657" spans="1:10" x14ac:dyDescent="0.25">
      <c r="A657" s="22">
        <v>61.7</v>
      </c>
      <c r="B657" s="22">
        <v>11953.634600000003</v>
      </c>
      <c r="C657" s="22">
        <v>0.96608573336447046</v>
      </c>
      <c r="D657" s="22">
        <v>42.639301119976167</v>
      </c>
      <c r="E657" s="22">
        <v>0.14434061375192897</v>
      </c>
      <c r="F657" s="22">
        <v>17059985153.119059</v>
      </c>
      <c r="G657" s="23">
        <v>5.8616698140394981E-11</v>
      </c>
      <c r="H657" s="5"/>
      <c r="I657" s="5"/>
      <c r="J657" s="5"/>
    </row>
    <row r="658" spans="1:10" x14ac:dyDescent="0.25">
      <c r="A658" s="22">
        <v>61.8</v>
      </c>
      <c r="B658" s="22">
        <v>11992.4136</v>
      </c>
      <c r="C658" s="22">
        <v>0.96843498275971351</v>
      </c>
      <c r="D658" s="22">
        <v>42.494234903101862</v>
      </c>
      <c r="E658" s="22">
        <v>0.1450662168743051</v>
      </c>
      <c r="F658" s="22">
        <v>17029721011.753887</v>
      </c>
      <c r="G658" s="23">
        <v>5.8720868023017026E-11</v>
      </c>
      <c r="H658" s="5"/>
      <c r="I658" s="5"/>
      <c r="J658" s="5"/>
    </row>
    <row r="659" spans="1:10" x14ac:dyDescent="0.25">
      <c r="A659" s="22">
        <v>61.9</v>
      </c>
      <c r="B659" s="22">
        <v>12031.2554</v>
      </c>
      <c r="C659" s="22">
        <v>0.97079228606166335</v>
      </c>
      <c r="D659" s="22">
        <v>42.348435626360512</v>
      </c>
      <c r="E659" s="22">
        <v>0.14579927674135007</v>
      </c>
      <c r="F659" s="22">
        <v>16998977414.660187</v>
      </c>
      <c r="G659" s="23">
        <v>5.8827067982194284E-11</v>
      </c>
      <c r="H659" s="5"/>
      <c r="I659" s="5"/>
      <c r="J659" s="5"/>
    </row>
    <row r="660" spans="1:10" x14ac:dyDescent="0.25">
      <c r="A660" s="22">
        <v>62</v>
      </c>
      <c r="B660" s="22">
        <v>12070.16</v>
      </c>
      <c r="C660" s="22">
        <v>0.97315773991175758</v>
      </c>
      <c r="D660" s="22">
        <v>42.201895692018383</v>
      </c>
      <c r="E660" s="22">
        <v>0.14653993434212964</v>
      </c>
      <c r="F660" s="22">
        <v>16967749925.387777</v>
      </c>
      <c r="G660" s="23">
        <v>5.893533346479623E-11</v>
      </c>
      <c r="H660" s="5"/>
      <c r="I660" s="5"/>
      <c r="J660" s="5"/>
    </row>
    <row r="661" spans="1:10" x14ac:dyDescent="0.25">
      <c r="A661" s="22">
        <v>62.1</v>
      </c>
      <c r="B661" s="22">
        <v>12109.127399999999</v>
      </c>
      <c r="C661" s="22">
        <v>0.97553144281721182</v>
      </c>
      <c r="D661" s="22">
        <v>42.054607357577353</v>
      </c>
      <c r="E661" s="22">
        <v>0.14728833444102918</v>
      </c>
      <c r="F661" s="22">
        <v>16936034030.575123</v>
      </c>
      <c r="G661" s="23">
        <v>5.9045700911717015E-11</v>
      </c>
      <c r="H661" s="5"/>
      <c r="I661" s="5"/>
      <c r="J661" s="5"/>
    </row>
    <row r="662" spans="1:10" x14ac:dyDescent="0.25">
      <c r="A662" s="22">
        <v>62.2</v>
      </c>
      <c r="B662" s="22">
        <v>12148.157600000002</v>
      </c>
      <c r="C662" s="22">
        <v>0.97791349520187199</v>
      </c>
      <c r="D662" s="22">
        <v>41.906562731868142</v>
      </c>
      <c r="E662" s="22">
        <v>0.14804462570921118</v>
      </c>
      <c r="F662" s="22">
        <v>16903825137.938095</v>
      </c>
      <c r="G662" s="23">
        <v>5.91582077926049E-11</v>
      </c>
      <c r="H662" s="5"/>
      <c r="I662" s="5"/>
      <c r="J662" s="5"/>
    </row>
    <row r="663" spans="1:10" x14ac:dyDescent="0.25">
      <c r="A663" s="22">
        <v>62.3</v>
      </c>
      <c r="B663" s="22">
        <v>12187.250599999999</v>
      </c>
      <c r="C663" s="22">
        <v>0.98030399945886038</v>
      </c>
      <c r="D663" s="22">
        <v>41.757753771006414</v>
      </c>
      <c r="E663" s="22">
        <v>0.14880896086172868</v>
      </c>
      <c r="F663" s="22">
        <v>16871118574.188498</v>
      </c>
      <c r="G663" s="23">
        <v>5.9272892642099165E-11</v>
      </c>
      <c r="H663" s="5"/>
      <c r="I663" s="5"/>
      <c r="J663" s="5"/>
    </row>
    <row r="664" spans="1:10" x14ac:dyDescent="0.25">
      <c r="A664" s="22">
        <v>62.4</v>
      </c>
      <c r="B664" s="22">
        <v>12226.4064</v>
      </c>
      <c r="C664" s="22">
        <v>0.982703060005092</v>
      </c>
      <c r="D664" s="22">
        <v>41.608172274205941</v>
      </c>
      <c r="E664" s="22">
        <v>0.14958149680047228</v>
      </c>
      <c r="F664" s="22">
        <v>16837909582.891993</v>
      </c>
      <c r="G664" s="23">
        <v>5.9389795097607667E-11</v>
      </c>
      <c r="H664" s="5"/>
      <c r="I664" s="5"/>
      <c r="J664" s="5"/>
    </row>
    <row r="665" spans="1:10" x14ac:dyDescent="0.25">
      <c r="A665" s="22">
        <v>62.5</v>
      </c>
      <c r="B665" s="22">
        <v>12265.625</v>
      </c>
      <c r="C665" s="22">
        <v>0.98511078333774571</v>
      </c>
      <c r="D665" s="22">
        <v>41.457809879442493</v>
      </c>
      <c r="E665" s="22">
        <v>0.15036239476344804</v>
      </c>
      <c r="F665" s="22">
        <v>16804193322.240345</v>
      </c>
      <c r="G665" s="23">
        <v>5.9508955938783466E-11</v>
      </c>
      <c r="H665" s="5"/>
      <c r="I665" s="5"/>
      <c r="J665" s="5"/>
    </row>
    <row r="666" spans="1:10" x14ac:dyDescent="0.25">
      <c r="A666" s="22">
        <v>62.6</v>
      </c>
      <c r="B666" s="22">
        <v>12304.906400000002</v>
      </c>
      <c r="C666" s="22">
        <v>0.98752727809277407</v>
      </c>
      <c r="D666" s="22">
        <v>41.306658058961872</v>
      </c>
      <c r="E666" s="22">
        <v>0.15115182048062081</v>
      </c>
      <c r="F666" s="22">
        <v>16769964862.745327</v>
      </c>
      <c r="G666" s="23">
        <v>5.9630417128750915E-11</v>
      </c>
      <c r="H666" s="5"/>
      <c r="I666" s="5"/>
      <c r="J666" s="5"/>
    </row>
    <row r="667" spans="1:10" x14ac:dyDescent="0.25">
      <c r="A667" s="22">
        <v>62.7</v>
      </c>
      <c r="B667" s="22">
        <v>12344.250600000001</v>
      </c>
      <c r="C667" s="22">
        <v>0.98995265510554509</v>
      </c>
      <c r="D667" s="22">
        <v>41.15470811462523</v>
      </c>
      <c r="E667" s="22">
        <v>0.15194994433664277</v>
      </c>
      <c r="F667" s="22">
        <v>16735219184.853466</v>
      </c>
      <c r="G667" s="23">
        <v>5.975422185716392E-11</v>
      </c>
      <c r="H667" s="5"/>
      <c r="I667" s="5"/>
      <c r="J667" s="5"/>
    </row>
    <row r="668" spans="1:10" x14ac:dyDescent="0.25">
      <c r="A668" s="22">
        <v>62.8</v>
      </c>
      <c r="B668" s="22">
        <v>12383.6576</v>
      </c>
      <c r="C668" s="22">
        <v>0.99238702747370688</v>
      </c>
      <c r="D668" s="22">
        <v>41.001951173084443</v>
      </c>
      <c r="E668" s="22">
        <v>0.15275694154078678</v>
      </c>
      <c r="F668" s="22">
        <v>16699951176.482952</v>
      </c>
      <c r="G668" s="23">
        <v>5.9880414585176191E-11</v>
      </c>
      <c r="H668" s="5"/>
      <c r="I668" s="5"/>
      <c r="J668" s="5"/>
    </row>
    <row r="669" spans="1:10" x14ac:dyDescent="0.25">
      <c r="A669" s="22">
        <v>62.9</v>
      </c>
      <c r="B669" s="22">
        <v>12423.127399999999</v>
      </c>
      <c r="C669" s="22">
        <v>0.99483051062238403</v>
      </c>
      <c r="D669" s="22">
        <v>40.848378180779711</v>
      </c>
      <c r="E669" s="22">
        <v>0.15357299230473132</v>
      </c>
      <c r="F669" s="22">
        <v>16664155630.450373</v>
      </c>
      <c r="G669" s="23">
        <v>6.0009041092529306E-11</v>
      </c>
      <c r="H669" s="5"/>
      <c r="I669" s="5"/>
      <c r="J669" s="5"/>
    </row>
    <row r="670" spans="1:10" x14ac:dyDescent="0.25">
      <c r="A670" s="22">
        <v>63</v>
      </c>
      <c r="B670" s="22">
        <v>12462.660000000002</v>
      </c>
      <c r="C670" s="22">
        <v>0.99728322237179989</v>
      </c>
      <c r="D670" s="22">
        <v>40.693979898751607</v>
      </c>
      <c r="E670" s="22">
        <v>0.15439828202810446</v>
      </c>
      <c r="F670" s="22">
        <v>16627827241.838638</v>
      </c>
      <c r="G670" s="23">
        <v>6.0140148526670891E-11</v>
      </c>
      <c r="H670" s="5"/>
      <c r="I670" s="5"/>
      <c r="J670" s="5"/>
    </row>
    <row r="671" spans="1:10" x14ac:dyDescent="0.25">
      <c r="A671" s="22">
        <v>63.1</v>
      </c>
      <c r="B671" s="22">
        <v>12502.255400000002</v>
      </c>
      <c r="C671" s="22">
        <v>0.99974528300744969</v>
      </c>
      <c r="D671" s="22">
        <v>40.538746897258669</v>
      </c>
      <c r="E671" s="22">
        <v>0.15523300149293817</v>
      </c>
      <c r="F671" s="22">
        <v>16590960605.223904</v>
      </c>
      <c r="G671" s="23">
        <v>6.0273785454299467E-11</v>
      </c>
      <c r="H671" s="5"/>
      <c r="I671" s="5"/>
      <c r="J671" s="5"/>
    </row>
    <row r="672" spans="1:10" x14ac:dyDescent="0.25">
      <c r="A672" s="22">
        <v>63.2</v>
      </c>
      <c r="B672" s="22">
        <v>12541.913600000002</v>
      </c>
      <c r="C672" s="22">
        <v>1.0022168153529318</v>
      </c>
      <c r="D672" s="22">
        <v>40.382669550191949</v>
      </c>
      <c r="E672" s="22">
        <v>0.15607734706672005</v>
      </c>
      <c r="F672" s="22">
        <v>16553550211.84174</v>
      </c>
      <c r="G672" s="23">
        <v>6.0410001915156578E-11</v>
      </c>
      <c r="H672" s="5"/>
      <c r="I672" s="5"/>
      <c r="J672" s="5"/>
    </row>
    <row r="673" spans="1:10" x14ac:dyDescent="0.25">
      <c r="A673" s="22">
        <v>63.3</v>
      </c>
      <c r="B673" s="22">
        <v>12581.634599999999</v>
      </c>
      <c r="C673" s="22">
        <v>1.0046979448455691</v>
      </c>
      <c r="D673" s="22">
        <v>40.225738029276727</v>
      </c>
      <c r="E673" s="22">
        <v>0.15693152091522222</v>
      </c>
      <c r="F673" s="22">
        <v>16515590446.613686</v>
      </c>
      <c r="G673" s="23">
        <v>6.0548849478465812E-11</v>
      </c>
      <c r="H673" s="5"/>
      <c r="I673" s="5"/>
      <c r="J673" s="5"/>
    </row>
    <row r="674" spans="1:10" x14ac:dyDescent="0.25">
      <c r="A674" s="22">
        <v>63.4</v>
      </c>
      <c r="B674" s="22">
        <v>12621.418399999999</v>
      </c>
      <c r="C674" s="22">
        <v>1.0071887996149445</v>
      </c>
      <c r="D674" s="22">
        <v>40.06794229805169</v>
      </c>
      <c r="E674" s="22">
        <v>0.15779573122503621</v>
      </c>
      <c r="F674" s="22">
        <v>16477075585.09337</v>
      </c>
      <c r="G674" s="23">
        <v>6.0690381301927689E-11</v>
      </c>
      <c r="H674" s="5"/>
      <c r="I674" s="5"/>
      <c r="J674" s="5"/>
    </row>
    <row r="675" spans="1:10" x14ac:dyDescent="0.25">
      <c r="A675" s="22">
        <v>63.5</v>
      </c>
      <c r="B675" s="22">
        <v>12661.265000000001</v>
      </c>
      <c r="C675" s="22">
        <v>1.0096895105644983</v>
      </c>
      <c r="D675" s="22">
        <v>39.909272105614761</v>
      </c>
      <c r="E675" s="22">
        <v>0.15867019243692937</v>
      </c>
      <c r="F675" s="22">
        <v>16437999790.267826</v>
      </c>
      <c r="G675" s="23">
        <v>6.0834652193635713E-11</v>
      </c>
      <c r="H675" s="5"/>
      <c r="I675" s="5"/>
      <c r="J675" s="5"/>
    </row>
    <row r="676" spans="1:10" x14ac:dyDescent="0.25">
      <c r="A676" s="22">
        <v>63.6</v>
      </c>
      <c r="B676" s="22">
        <v>12701.1744</v>
      </c>
      <c r="C676" s="22">
        <v>1.0122002114563262</v>
      </c>
      <c r="D676" s="22">
        <v>39.749716980124525</v>
      </c>
      <c r="E676" s="22">
        <v>0.15955512549023609</v>
      </c>
      <c r="F676" s="22">
        <v>16398357109.249443</v>
      </c>
      <c r="G676" s="23">
        <v>6.0981718676924846E-11</v>
      </c>
      <c r="H676" s="5"/>
      <c r="I676" s="5"/>
      <c r="J676" s="5"/>
    </row>
    <row r="677" spans="1:10" x14ac:dyDescent="0.25">
      <c r="A677" s="22">
        <v>63.7</v>
      </c>
      <c r="B677" s="22">
        <v>12741.146600000002</v>
      </c>
      <c r="C677" s="22">
        <v>1.0147210389993366</v>
      </c>
      <c r="D677" s="22">
        <v>39.589266222045588</v>
      </c>
      <c r="E677" s="22">
        <v>0.16045075807893738</v>
      </c>
      <c r="F677" s="22">
        <v>16358141469.850405</v>
      </c>
      <c r="G677" s="23">
        <v>6.1131639058330317E-11</v>
      </c>
      <c r="H677" s="5"/>
      <c r="I677" s="5"/>
      <c r="J677" s="5"/>
    </row>
    <row r="678" spans="1:10" x14ac:dyDescent="0.25">
      <c r="A678" s="22">
        <v>63.8</v>
      </c>
      <c r="B678" s="22">
        <v>12781.1816</v>
      </c>
      <c r="C678" s="22">
        <v>1.0172521329409312</v>
      </c>
      <c r="D678" s="22">
        <v>39.427908897125128</v>
      </c>
      <c r="E678" s="22">
        <v>0.16135732492045918</v>
      </c>
      <c r="F678" s="22">
        <v>16317346676.997126</v>
      </c>
      <c r="G678" s="23">
        <v>6.128447349897389E-11</v>
      </c>
      <c r="H678" s="5"/>
      <c r="I678" s="5"/>
      <c r="J678" s="5"/>
    </row>
    <row r="679" spans="1:10" x14ac:dyDescent="0.25">
      <c r="A679" s="22">
        <v>63.9</v>
      </c>
      <c r="B679" s="22">
        <v>12821.279400000001</v>
      </c>
      <c r="C679" s="22">
        <v>1.0197936361623814</v>
      </c>
      <c r="D679" s="22">
        <v>39.265633829087747</v>
      </c>
      <c r="E679" s="22">
        <v>0.16227506803738123</v>
      </c>
      <c r="F679" s="22">
        <v>16275966409.033237</v>
      </c>
      <c r="G679" s="23">
        <v>6.1440284089367216E-11</v>
      </c>
      <c r="H679" s="5"/>
      <c r="I679" s="5"/>
      <c r="J679" s="5"/>
    </row>
    <row r="680" spans="1:10" x14ac:dyDescent="0.25">
      <c r="A680" s="22">
        <v>64</v>
      </c>
      <c r="B680" s="22">
        <v>12861.44</v>
      </c>
      <c r="C680" s="22">
        <v>1.0223456947780858</v>
      </c>
      <c r="D680" s="22">
        <v>39.102429592034298</v>
      </c>
      <c r="E680" s="22">
        <v>0.16320423705344922</v>
      </c>
      <c r="F680" s="22">
        <v>16233994213.840818</v>
      </c>
      <c r="G680" s="23">
        <v>6.1599134928076889E-11</v>
      </c>
      <c r="H680" s="5"/>
      <c r="I680" s="5"/>
      <c r="J680" s="5"/>
    </row>
    <row r="681" spans="1:10" x14ac:dyDescent="0.25">
      <c r="A681" s="22">
        <v>64.099999999999994</v>
      </c>
      <c r="B681" s="22">
        <v>12901.663399999999</v>
      </c>
      <c r="C681" s="22">
        <v>1.0249084582388994</v>
      </c>
      <c r="D681" s="22">
        <v>38.938284502530429</v>
      </c>
      <c r="E681" s="22">
        <v>0.16414508950386875</v>
      </c>
      <c r="F681" s="22">
        <v>16191423504.85824</v>
      </c>
      <c r="G681" s="23">
        <v>6.1761092204150539E-11</v>
      </c>
      <c r="H681" s="5"/>
      <c r="I681" s="5"/>
      <c r="J681" s="5"/>
    </row>
    <row r="682" spans="1:10" x14ac:dyDescent="0.25">
      <c r="A682" s="22">
        <v>64.2</v>
      </c>
      <c r="B682" s="22">
        <v>12941.949600000002</v>
      </c>
      <c r="C682" s="22">
        <v>1.0274820794397486</v>
      </c>
      <c r="D682" s="22">
        <v>38.77318661136843</v>
      </c>
      <c r="E682" s="22">
        <v>0.16509789116199869</v>
      </c>
      <c r="F682" s="22">
        <v>16148247556.863131</v>
      </c>
      <c r="G682" s="23">
        <v>6.192622428400859E-11</v>
      </c>
      <c r="H682" s="5"/>
      <c r="I682" s="5"/>
      <c r="J682" s="5"/>
    </row>
    <row r="683" spans="1:10" x14ac:dyDescent="0.25">
      <c r="A683" s="22">
        <v>64.3</v>
      </c>
      <c r="B683" s="22">
        <v>12982.298599999998</v>
      </c>
      <c r="C683" s="22">
        <v>1.0300667148317386</v>
      </c>
      <c r="D683" s="22">
        <v>38.607123694986662</v>
      </c>
      <c r="E683" s="22">
        <v>0.16606291638176884</v>
      </c>
      <c r="F683" s="22">
        <v>16104459501.673561</v>
      </c>
      <c r="G683" s="23">
        <v>6.2094601802443662E-11</v>
      </c>
      <c r="H683" s="5"/>
      <c r="I683" s="5"/>
      <c r="J683" s="5"/>
    </row>
    <row r="684" spans="1:10" x14ac:dyDescent="0.25">
      <c r="A684" s="22">
        <v>64.400000000000006</v>
      </c>
      <c r="B684" s="22">
        <v>13022.710400000004</v>
      </c>
      <c r="C684" s="22">
        <v>1.0326625245390004</v>
      </c>
      <c r="D684" s="22">
        <v>38.440083246527969</v>
      </c>
      <c r="E684" s="22">
        <v>0.16704044845869248</v>
      </c>
      <c r="F684" s="22">
        <v>16060052323.574799</v>
      </c>
      <c r="G684" s="23">
        <v>6.226629775869936E-11</v>
      </c>
      <c r="H684" s="5"/>
      <c r="I684" s="5"/>
      <c r="J684" s="5"/>
    </row>
    <row r="685" spans="1:10" x14ac:dyDescent="0.25">
      <c r="A685" s="22">
        <v>64.5</v>
      </c>
      <c r="B685" s="22">
        <v>13063.184999999999</v>
      </c>
      <c r="C685" s="22">
        <v>1.0352696724805088</v>
      </c>
      <c r="D685" s="22">
        <v>38.272052466519213</v>
      </c>
      <c r="E685" s="22">
        <v>0.16803078000875615</v>
      </c>
      <c r="F685" s="22">
        <v>16015018854.639429</v>
      </c>
      <c r="G685" s="23">
        <v>6.2441387617243271E-11</v>
      </c>
      <c r="H685" s="5"/>
      <c r="I685" s="5"/>
      <c r="J685" s="5"/>
    </row>
    <row r="686" spans="1:10" x14ac:dyDescent="0.25">
      <c r="A686" s="22">
        <v>64.599999999999994</v>
      </c>
      <c r="B686" s="22">
        <v>13103.722399999999</v>
      </c>
      <c r="C686" s="22">
        <v>1.0378883264971437</v>
      </c>
      <c r="D686" s="22">
        <v>38.103018253151546</v>
      </c>
      <c r="E686" s="22">
        <v>0.16903421336766655</v>
      </c>
      <c r="F686" s="22">
        <v>15969351769.801792</v>
      </c>
      <c r="G686" s="23">
        <v>6.2619949414040101E-11</v>
      </c>
      <c r="H686" s="5"/>
      <c r="I686" s="5"/>
      <c r="J686" s="5"/>
    </row>
    <row r="687" spans="1:10" x14ac:dyDescent="0.25">
      <c r="A687" s="22">
        <v>64.7</v>
      </c>
      <c r="B687" s="22">
        <v>13144.322600000001</v>
      </c>
      <c r="C687" s="22">
        <v>1.0405186584842674</v>
      </c>
      <c r="D687" s="22">
        <v>37.932967192140396</v>
      </c>
      <c r="E687" s="22">
        <v>0.17005106101115075</v>
      </c>
      <c r="F687" s="22">
        <v>15923043581.730116</v>
      </c>
      <c r="G687" s="23">
        <v>6.2802063868454548E-11</v>
      </c>
      <c r="H687" s="5"/>
      <c r="I687" s="5"/>
      <c r="J687" s="5"/>
    </row>
    <row r="688" spans="1:10" x14ac:dyDescent="0.25">
      <c r="A688" s="22">
        <v>64.8</v>
      </c>
      <c r="B688" s="22">
        <v>13184.9856</v>
      </c>
      <c r="C688" s="22">
        <v>1.0431608445301144</v>
      </c>
      <c r="D688" s="22">
        <v>37.761885546142942</v>
      </c>
      <c r="E688" s="22">
        <v>0.17108164599745379</v>
      </c>
      <c r="F688" s="22">
        <v>15876086635.502815</v>
      </c>
      <c r="G688" s="23">
        <v>6.2987814501072022E-11</v>
      </c>
      <c r="H688" s="5"/>
      <c r="I688" s="5"/>
      <c r="J688" s="5"/>
    </row>
    <row r="689" spans="1:10" x14ac:dyDescent="0.25">
      <c r="A689" s="22">
        <v>64.900000000000006</v>
      </c>
      <c r="B689" s="22">
        <v>13225.711400000004</v>
      </c>
      <c r="C689" s="22">
        <v>1.0458150650603095</v>
      </c>
      <c r="D689" s="22">
        <v>37.589759243708919</v>
      </c>
      <c r="E689" s="22">
        <v>0.17212630243402316</v>
      </c>
      <c r="F689" s="22">
        <v>15828473103.024527</v>
      </c>
      <c r="G689" s="23">
        <v>6.317728775802883E-11</v>
      </c>
      <c r="H689" s="5"/>
      <c r="I689" s="5"/>
      <c r="J689" s="5"/>
    </row>
    <row r="690" spans="1:10" x14ac:dyDescent="0.25">
      <c r="A690" s="22">
        <v>65</v>
      </c>
      <c r="B690" s="22">
        <v>13266.5</v>
      </c>
      <c r="C690" s="22">
        <v>1.0484815049888481</v>
      </c>
      <c r="D690" s="22">
        <v>37.416573867739409</v>
      </c>
      <c r="E690" s="22">
        <v>0.17318537596950989</v>
      </c>
      <c r="F690" s="22">
        <v>15780194977.208351</v>
      </c>
      <c r="G690" s="23">
        <v>6.3370573142113892E-11</v>
      </c>
      <c r="H690" s="5"/>
      <c r="I690" s="5"/>
      <c r="J690" s="5"/>
    </row>
    <row r="691" spans="1:10" x14ac:dyDescent="0.25">
      <c r="A691" s="22">
        <v>65.099999999999994</v>
      </c>
      <c r="B691" s="22">
        <v>13307.351399999998</v>
      </c>
      <c r="C691" s="22">
        <v>1.0511603538758925</v>
      </c>
      <c r="D691" s="22">
        <v>37.242314643426781</v>
      </c>
      <c r="E691" s="22">
        <v>0.17425922431262819</v>
      </c>
      <c r="F691" s="22">
        <v>15731244065.920834</v>
      </c>
      <c r="G691" s="23">
        <v>6.3567763351045863E-11</v>
      </c>
      <c r="H691" s="5"/>
      <c r="I691" s="5"/>
      <c r="J691" s="5"/>
    </row>
    <row r="692" spans="1:10" x14ac:dyDescent="0.25">
      <c r="A692" s="22">
        <v>65.2</v>
      </c>
      <c r="B692" s="22">
        <v>13348.265600000001</v>
      </c>
      <c r="C692" s="22">
        <v>1.0538518060927722</v>
      </c>
      <c r="D692" s="22">
        <v>37.06696642564642</v>
      </c>
      <c r="E692" s="22">
        <v>0.17534821778036047</v>
      </c>
      <c r="F692" s="22">
        <v>15681611985.610836</v>
      </c>
      <c r="G692" s="23">
        <v>6.3768954423663964E-11</v>
      </c>
      <c r="H692" s="5"/>
      <c r="I692" s="5"/>
      <c r="J692" s="5"/>
    </row>
    <row r="693" spans="1:10" x14ac:dyDescent="0.25">
      <c r="A693" s="22">
        <v>65.3</v>
      </c>
      <c r="B693" s="22">
        <v>13389.2426</v>
      </c>
      <c r="C693" s="22">
        <v>1.056556060994581</v>
      </c>
      <c r="D693" s="22">
        <v>36.890513685770223</v>
      </c>
      <c r="E693" s="22">
        <v>0.17645273987619703</v>
      </c>
      <c r="F693" s="22">
        <v>15631290154.719049</v>
      </c>
      <c r="G693" s="23">
        <v>6.3974245894098659E-11</v>
      </c>
      <c r="H693" s="5"/>
      <c r="I693" s="5"/>
      <c r="J693" s="5"/>
    </row>
    <row r="694" spans="1:10" x14ac:dyDescent="0.25">
      <c r="A694" s="22">
        <v>65.400000000000006</v>
      </c>
      <c r="B694" s="22">
        <v>13430.282400000002</v>
      </c>
      <c r="C694" s="22">
        <v>1.0592733231008193</v>
      </c>
      <c r="D694" s="22">
        <v>36.712940497868033</v>
      </c>
      <c r="E694" s="22">
        <v>0.17757318790219045</v>
      </c>
      <c r="F694" s="22">
        <v>15580269786.697187</v>
      </c>
      <c r="G694" s="23">
        <v>6.4183740955103634E-11</v>
      </c>
      <c r="H694" s="5"/>
      <c r="I694" s="5"/>
      <c r="J694" s="5"/>
    </row>
    <row r="695" spans="1:10" x14ac:dyDescent="0.25">
      <c r="A695" s="22">
        <v>65.5</v>
      </c>
      <c r="B695" s="22">
        <v>13471.385</v>
      </c>
      <c r="C695" s="22">
        <v>1.0620038022845264</v>
      </c>
      <c r="D695" s="22">
        <v>36.53423052426313</v>
      </c>
      <c r="E695" s="22">
        <v>0.17870997360490293</v>
      </c>
      <c r="F695" s="22">
        <v>15528541882.812212</v>
      </c>
      <c r="G695" s="23">
        <v>6.4397546630366593E-11</v>
      </c>
      <c r="H695" s="5"/>
      <c r="I695" s="5"/>
      <c r="J695" s="5"/>
    </row>
    <row r="696" spans="1:10" x14ac:dyDescent="0.25">
      <c r="A696" s="22">
        <v>65.599999999999994</v>
      </c>
      <c r="B696" s="22">
        <v>13512.550399999998</v>
      </c>
      <c r="C696" s="22">
        <v>1.0647477139704125</v>
      </c>
      <c r="D696" s="22">
        <v>36.354367000403144</v>
      </c>
      <c r="E696" s="22">
        <v>0.17986352385998572</v>
      </c>
      <c r="F696" s="22">
        <v>15476097224.509369</v>
      </c>
      <c r="G696" s="23">
        <v>6.4615773957293837E-11</v>
      </c>
      <c r="H696" s="5"/>
      <c r="I696" s="5"/>
      <c r="J696" s="5"/>
    </row>
    <row r="697" spans="1:10" x14ac:dyDescent="0.25">
      <c r="A697" s="22">
        <v>65.7</v>
      </c>
      <c r="B697" s="22">
        <v>13553.778600000003</v>
      </c>
      <c r="C697" s="22">
        <v>1.0675052793425066</v>
      </c>
      <c r="D697" s="22">
        <v>36.173332719007242</v>
      </c>
      <c r="E697" s="22">
        <v>0.1810342813959025</v>
      </c>
      <c r="F697" s="22">
        <v>15422926365.49884</v>
      </c>
      <c r="G697" s="23">
        <v>6.4838538180212336E-11</v>
      </c>
      <c r="H697" s="5"/>
      <c r="I697" s="5"/>
      <c r="J697" s="5"/>
    </row>
    <row r="698" spans="1:10" x14ac:dyDescent="0.25">
      <c r="A698" s="22">
        <v>65.8</v>
      </c>
      <c r="B698" s="22">
        <v>13595.069599999999</v>
      </c>
      <c r="C698" s="22">
        <v>1.0702767255618897</v>
      </c>
      <c r="D698" s="22">
        <v>35.991110013446374</v>
      </c>
      <c r="E698" s="22">
        <v>0.18222270556086784</v>
      </c>
      <c r="F698" s="22">
        <v>15369019623.432827</v>
      </c>
      <c r="G698" s="23">
        <v>6.5065958955203661E-11</v>
      </c>
      <c r="H698" s="5"/>
      <c r="I698" s="5"/>
      <c r="J698" s="5"/>
    </row>
    <row r="699" spans="1:10" x14ac:dyDescent="0.25">
      <c r="A699" s="22">
        <v>65.900000000000006</v>
      </c>
      <c r="B699" s="22">
        <v>13636.423400000001</v>
      </c>
      <c r="C699" s="22">
        <v>1.0730622859951213</v>
      </c>
      <c r="D699" s="22">
        <v>35.807680740310445</v>
      </c>
      <c r="E699" s="22">
        <v>0.18342927313592838</v>
      </c>
      <c r="F699" s="22">
        <v>15314367071.161772</v>
      </c>
      <c r="G699" s="23">
        <v>6.5298160567346155E-11</v>
      </c>
      <c r="H699" s="5"/>
      <c r="I699" s="5"/>
      <c r="J699" s="5"/>
    </row>
    <row r="700" spans="1:10" x14ac:dyDescent="0.25">
      <c r="A700" s="22">
        <v>66</v>
      </c>
      <c r="B700" s="22">
        <v>13677.84</v>
      </c>
      <c r="C700" s="22">
        <v>1.0758622004540013</v>
      </c>
      <c r="D700" s="22">
        <v>35.623026261113736</v>
      </c>
      <c r="E700" s="22">
        <v>0.18465447919670908</v>
      </c>
      <c r="F700" s="22">
        <v>15258958527.609961</v>
      </c>
      <c r="G700" s="23">
        <v>6.5535272160978328E-11</v>
      </c>
      <c r="H700" s="5"/>
      <c r="I700" s="5"/>
      <c r="J700" s="5"/>
    </row>
    <row r="701" spans="1:10" x14ac:dyDescent="0.25">
      <c r="A701" s="22">
        <v>66.099999999999994</v>
      </c>
      <c r="B701" s="22">
        <v>13719.319399999998</v>
      </c>
      <c r="C701" s="22">
        <v>1.0786767154473671</v>
      </c>
      <c r="D701" s="22">
        <v>35.437127423085521</v>
      </c>
      <c r="E701" s="22">
        <v>0.18589883802821561</v>
      </c>
      <c r="F701" s="22">
        <v>15202783548.173893</v>
      </c>
      <c r="G701" s="23">
        <v>6.5777427984240199E-11</v>
      </c>
      <c r="H701" s="5"/>
      <c r="I701" s="5"/>
      <c r="J701" s="5"/>
    </row>
    <row r="702" spans="1:10" x14ac:dyDescent="0.25">
      <c r="A702" s="22">
        <v>66.2</v>
      </c>
      <c r="B702" s="22">
        <v>13760.861600000002</v>
      </c>
      <c r="C702" s="22">
        <v>1.0815060844456723</v>
      </c>
      <c r="D702" s="22">
        <v>35.249964538989246</v>
      </c>
      <c r="E702" s="22">
        <v>0.18716288409627424</v>
      </c>
      <c r="F702" s="22">
        <v>15145831414.640133</v>
      </c>
      <c r="G702" s="23">
        <v>6.6024767648832318E-11</v>
      </c>
      <c r="H702" s="5"/>
      <c r="I702" s="5"/>
      <c r="J702" s="5"/>
    </row>
    <row r="703" spans="1:10" x14ac:dyDescent="0.25">
      <c r="A703" s="22">
        <v>66.3</v>
      </c>
      <c r="B703" s="22">
        <v>13802.466599999998</v>
      </c>
      <c r="C703" s="22">
        <v>1.0843505681591437</v>
      </c>
      <c r="D703" s="22">
        <v>35.061517365909872</v>
      </c>
      <c r="E703" s="22">
        <v>0.18844717307937486</v>
      </c>
      <c r="F703" s="22">
        <v>15088091124.627188</v>
      </c>
      <c r="G703" s="23">
        <v>6.6277436405972731E-11</v>
      </c>
      <c r="H703" s="5"/>
      <c r="I703" s="5"/>
      <c r="J703" s="5"/>
    </row>
    <row r="704" spans="1:10" x14ac:dyDescent="0.25">
      <c r="A704" s="22">
        <v>66.400000000000006</v>
      </c>
      <c r="B704" s="22">
        <v>13844.134400000004</v>
      </c>
      <c r="C704" s="22">
        <v>1.0872104348303857</v>
      </c>
      <c r="D704" s="22">
        <v>34.871765082943519</v>
      </c>
      <c r="E704" s="22">
        <v>0.18975228296635294</v>
      </c>
      <c r="F704" s="22">
        <v>15029551380.44743</v>
      </c>
      <c r="G704" s="23">
        <v>6.6535585440091158E-11</v>
      </c>
      <c r="H704" s="5"/>
      <c r="I704" s="5"/>
      <c r="J704" s="5"/>
    </row>
    <row r="705" spans="1:10" x14ac:dyDescent="0.25">
      <c r="A705" s="22">
        <v>66.5</v>
      </c>
      <c r="B705" s="22">
        <v>13885.865</v>
      </c>
      <c r="C705" s="22">
        <v>1.0900859605423527</v>
      </c>
      <c r="D705" s="22">
        <v>34.680686267719672</v>
      </c>
      <c r="E705" s="22">
        <v>0.19107881522384673</v>
      </c>
      <c r="F705" s="22">
        <v>14970200577.436956</v>
      </c>
      <c r="G705" s="23">
        <v>6.6799372181238313E-11</v>
      </c>
      <c r="H705" s="5"/>
      <c r="I705" s="5"/>
      <c r="J705" s="5"/>
    </row>
    <row r="706" spans="1:10" x14ac:dyDescent="0.25">
      <c r="A706" s="22">
        <v>66.599999999999994</v>
      </c>
      <c r="B706" s="22">
        <v>13927.658399999998</v>
      </c>
      <c r="C706" s="22">
        <v>1.0929774295426922</v>
      </c>
      <c r="D706" s="22">
        <v>34.488258871679797</v>
      </c>
      <c r="E706" s="22">
        <v>0.19242739603987502</v>
      </c>
      <c r="F706" s="22">
        <v>14910026791.6397</v>
      </c>
      <c r="G706" s="23">
        <v>6.7068960637999432E-11</v>
      </c>
      <c r="H706" s="5"/>
      <c r="I706" s="5"/>
      <c r="J706" s="5"/>
    </row>
    <row r="707" spans="1:10" x14ac:dyDescent="0.25">
      <c r="A707" s="22">
        <v>66.7</v>
      </c>
      <c r="B707" s="22">
        <v>13969.514600000002</v>
      </c>
      <c r="C707" s="22">
        <v>1.0958851345855307</v>
      </c>
      <c r="D707" s="22">
        <v>34.294460194031331</v>
      </c>
      <c r="E707" s="22">
        <v>0.19379867764846637</v>
      </c>
      <c r="F707" s="22">
        <v>14849017766.880379</v>
      </c>
      <c r="G707" s="23">
        <v>6.7344521752167677E-11</v>
      </c>
      <c r="H707" s="5"/>
      <c r="I707" s="5"/>
      <c r="J707" s="5"/>
    </row>
    <row r="708" spans="1:10" x14ac:dyDescent="0.25">
      <c r="A708" s="22">
        <v>66.8</v>
      </c>
      <c r="B708" s="22">
        <v>14011.4336</v>
      </c>
      <c r="C708" s="22">
        <v>1.0988093772918646</v>
      </c>
      <c r="D708" s="22">
        <v>34.099266854288828</v>
      </c>
      <c r="E708" s="22">
        <v>0.1951933397425023</v>
      </c>
      <c r="F708" s="22">
        <v>14787160901.123264</v>
      </c>
      <c r="G708" s="23">
        <v>6.7626233777170701E-11</v>
      </c>
      <c r="H708" s="5"/>
      <c r="I708" s="5"/>
      <c r="J708" s="5"/>
    </row>
    <row r="709" spans="1:10" x14ac:dyDescent="0.25">
      <c r="A709" s="22">
        <v>66.900000000000006</v>
      </c>
      <c r="B709" s="22">
        <v>14053.415400000004</v>
      </c>
      <c r="C709" s="22">
        <v>1.1017504685298112</v>
      </c>
      <c r="D709" s="22">
        <v>33.90265476330724</v>
      </c>
      <c r="E709" s="22">
        <v>0.19661209098158849</v>
      </c>
      <c r="F709" s="22">
        <v>14724443232.085354</v>
      </c>
      <c r="G709" s="23">
        <v>6.7914282682074268E-11</v>
      </c>
      <c r="H709" s="5"/>
      <c r="I709" s="5"/>
      <c r="J709" s="5"/>
    </row>
    <row r="710" spans="1:10" x14ac:dyDescent="0.25">
      <c r="A710" s="22">
        <v>67</v>
      </c>
      <c r="B710" s="22">
        <v>14095.46</v>
      </c>
      <c r="C710" s="22">
        <v>1.1047087288160646</v>
      </c>
      <c r="D710" s="22">
        <v>33.704599092705436</v>
      </c>
      <c r="E710" s="22">
        <v>0.19805567060180351</v>
      </c>
      <c r="F710" s="22">
        <v>14660851422.113026</v>
      </c>
      <c r="G710" s="23">
        <v>6.8208862582953112E-11</v>
      </c>
      <c r="H710" s="5"/>
      <c r="I710" s="5"/>
      <c r="J710" s="5"/>
    </row>
    <row r="711" spans="1:10" x14ac:dyDescent="0.25">
      <c r="A711" s="22">
        <v>67.099999999999994</v>
      </c>
      <c r="B711" s="22">
        <v>14137.567399999998</v>
      </c>
      <c r="C711" s="22">
        <v>1.1076844887400341</v>
      </c>
      <c r="D711" s="22">
        <v>33.505074242568099</v>
      </c>
      <c r="E711" s="22">
        <v>0.19952485013733678</v>
      </c>
      <c r="F711" s="22">
        <v>14596371742.143301</v>
      </c>
      <c r="G711" s="23">
        <v>6.8510176204457375E-11</v>
      </c>
      <c r="H711" s="5"/>
      <c r="I711" s="5"/>
      <c r="J711" s="5"/>
    </row>
    <row r="712" spans="1:10" x14ac:dyDescent="0.25">
      <c r="A712" s="22">
        <v>67.2</v>
      </c>
      <c r="B712" s="22">
        <v>14179.7376</v>
      </c>
      <c r="C712" s="22">
        <v>1.1106780894122348</v>
      </c>
      <c r="D712" s="22">
        <v>33.304053807306992</v>
      </c>
      <c r="E712" s="22">
        <v>0.20102043526110691</v>
      </c>
      <c r="F712" s="22">
        <v>14530990054.846205</v>
      </c>
      <c r="G712" s="23">
        <v>6.8818435373334511E-11</v>
      </c>
      <c r="H712" s="5"/>
      <c r="I712" s="5"/>
      <c r="J712" s="5"/>
    </row>
    <row r="713" spans="1:10" x14ac:dyDescent="0.25">
      <c r="A713" s="22">
        <v>67.3</v>
      </c>
      <c r="B713" s="22">
        <v>14221.970599999999</v>
      </c>
      <c r="C713" s="22">
        <v>1.1136898829386572</v>
      </c>
      <c r="D713" s="22">
        <v>33.101510539550908</v>
      </c>
      <c r="E713" s="22">
        <v>0.20254326775608433</v>
      </c>
      <c r="F713" s="22">
        <v>14464691796.758038</v>
      </c>
      <c r="G713" s="23">
        <v>6.9133861547200704E-11</v>
      </c>
      <c r="H713" s="5"/>
      <c r="I713" s="5"/>
      <c r="J713" s="5"/>
    </row>
    <row r="714" spans="1:10" x14ac:dyDescent="0.25">
      <c r="A714" s="22">
        <v>67.400000000000006</v>
      </c>
      <c r="B714" s="22">
        <v>14264.266400000002</v>
      </c>
      <c r="C714" s="22">
        <v>1.1167202329229793</v>
      </c>
      <c r="D714" s="22">
        <v>32.89741631192333</v>
      </c>
      <c r="E714" s="22">
        <v>0.20409422762757856</v>
      </c>
      <c r="F714" s="22">
        <v>14397461959.394188</v>
      </c>
      <c r="G714" s="23">
        <v>6.9456686381276442E-11</v>
      </c>
      <c r="H714" s="5"/>
      <c r="I714" s="5"/>
      <c r="J714" s="5"/>
    </row>
    <row r="715" spans="1:10" x14ac:dyDescent="0.25">
      <c r="A715" s="22">
        <v>67.5</v>
      </c>
      <c r="B715" s="22">
        <v>14306.625000000002</v>
      </c>
      <c r="C715" s="22">
        <v>1.1197695149986342</v>
      </c>
      <c r="D715" s="22">
        <v>32.691742076555052</v>
      </c>
      <c r="E715" s="22">
        <v>0.20567423536827789</v>
      </c>
      <c r="F715" s="22">
        <v>14329285069.288536</v>
      </c>
      <c r="G715" s="23">
        <v>6.9787152336250583E-11</v>
      </c>
      <c r="H715" s="5"/>
      <c r="I715" s="5"/>
      <c r="J715" s="5"/>
    </row>
    <row r="716" spans="1:10" x14ac:dyDescent="0.25">
      <c r="A716" s="22">
        <v>67.599999999999994</v>
      </c>
      <c r="B716" s="22">
        <v>14349.046399999997</v>
      </c>
      <c r="C716" s="22">
        <v>1.1228381173929449</v>
      </c>
      <c r="D716" s="22">
        <v>32.48445782216475</v>
      </c>
      <c r="E716" s="22">
        <v>0.20728425439030218</v>
      </c>
      <c r="F716" s="22">
        <v>14260145166.811531</v>
      </c>
      <c r="G716" s="23">
        <v>7.0125513331193743E-11</v>
      </c>
      <c r="H716" s="5"/>
      <c r="I716" s="5"/>
      <c r="J716" s="5"/>
    </row>
    <row r="717" spans="1:10" x14ac:dyDescent="0.25">
      <c r="A717" s="22">
        <v>67.7</v>
      </c>
      <c r="B717" s="22">
        <v>14391.530600000002</v>
      </c>
      <c r="C717" s="22">
        <v>1.1259264415257082</v>
      </c>
      <c r="D717" s="22">
        <v>32.275532528526924</v>
      </c>
      <c r="E717" s="22">
        <v>0.20892529363782586</v>
      </c>
      <c r="F717" s="22">
        <v>14190025783.758192</v>
      </c>
      <c r="G717" s="23">
        <v>7.0472035445107731E-11</v>
      </c>
      <c r="H717" s="5"/>
      <c r="I717" s="5"/>
      <c r="J717" s="5"/>
    </row>
    <row r="718" spans="1:10" x14ac:dyDescent="0.25">
      <c r="A718" s="22">
        <v>67.8</v>
      </c>
      <c r="B718" s="22">
        <v>14434.077599999999</v>
      </c>
      <c r="C718" s="22">
        <v>1.1290349026448376</v>
      </c>
      <c r="D718" s="22">
        <v>32.064934118129749</v>
      </c>
      <c r="E718" s="22">
        <v>0.21059841039717497</v>
      </c>
      <c r="F718" s="22">
        <v>14118909919.558853</v>
      </c>
      <c r="G718" s="23">
        <v>7.0826997671732794E-11</v>
      </c>
      <c r="H718" s="5"/>
      <c r="I718" s="5"/>
      <c r="J718" s="5"/>
    </row>
    <row r="719" spans="1:10" x14ac:dyDescent="0.25">
      <c r="A719" s="22">
        <v>67.900000000000006</v>
      </c>
      <c r="B719" s="22">
        <v>14476.687400000003</v>
      </c>
      <c r="C719" s="22">
        <v>1.1321639305019144</v>
      </c>
      <c r="D719" s="22">
        <v>31.85262940480737</v>
      </c>
      <c r="E719" s="22">
        <v>0.21230471332237855</v>
      </c>
      <c r="F719" s="22">
        <v>14046780016.002848</v>
      </c>
      <c r="G719" s="23">
        <v>7.1190692732480052E-11</v>
      </c>
      <c r="H719" s="5"/>
      <c r="I719" s="5"/>
      <c r="J719" s="5"/>
    </row>
    <row r="720" spans="1:10" x14ac:dyDescent="0.25">
      <c r="A720" s="22">
        <v>68</v>
      </c>
      <c r="B720" s="22">
        <v>14519.36</v>
      </c>
      <c r="C720" s="22">
        <v>1.1353139700707353</v>
      </c>
      <c r="D720" s="22">
        <v>31.638584039112754</v>
      </c>
      <c r="E720" s="22">
        <v>0.21404536569461641</v>
      </c>
      <c r="F720" s="22">
        <v>13973617930.449911</v>
      </c>
      <c r="G720" s="23">
        <v>7.1563427952391631E-11</v>
      </c>
      <c r="H720" s="5"/>
      <c r="I720" s="5"/>
      <c r="J720" s="5"/>
    </row>
    <row r="721" spans="1:10" x14ac:dyDescent="0.25">
      <c r="A721" s="22">
        <v>68.099999999999994</v>
      </c>
      <c r="B721" s="22">
        <v>14562.095399999998</v>
      </c>
      <c r="C721" s="22">
        <v>1.1384854823122705</v>
      </c>
      <c r="D721" s="22">
        <v>31.422762450172982</v>
      </c>
      <c r="E721" s="22">
        <v>0.21582158893977166</v>
      </c>
      <c r="F721" s="22">
        <v>13899404907.25021</v>
      </c>
      <c r="G721" s="23">
        <v>7.1945526205829132E-11</v>
      </c>
      <c r="H721" s="5"/>
      <c r="I721" s="5"/>
      <c r="J721" s="5"/>
    </row>
    <row r="722" spans="1:10" x14ac:dyDescent="0.25">
      <c r="A722" s="22">
        <v>68.2</v>
      </c>
      <c r="B722" s="22">
        <v>14604.893600000003</v>
      </c>
      <c r="C722" s="22">
        <v>1.1416789449897278</v>
      </c>
      <c r="D722" s="22">
        <v>31.205127783747347</v>
      </c>
      <c r="E722" s="22">
        <v>0.217634666425635</v>
      </c>
      <c r="F722" s="22">
        <v>13824121547.419155</v>
      </c>
      <c r="G722" s="23">
        <v>7.2337326937543554E-11</v>
      </c>
      <c r="H722" s="5"/>
      <c r="I722" s="5"/>
      <c r="J722" s="5"/>
    </row>
    <row r="723" spans="1:10" x14ac:dyDescent="0.25">
      <c r="A723" s="22">
        <v>68.3</v>
      </c>
      <c r="B723" s="22">
        <v>14647.754599999998</v>
      </c>
      <c r="C723" s="22">
        <v>1.1448948535378043</v>
      </c>
      <c r="D723" s="22">
        <v>30.985641836179546</v>
      </c>
      <c r="E723" s="22">
        <v>0.21948594756780082</v>
      </c>
      <c r="F723" s="22">
        <v>13747747776.280262</v>
      </c>
      <c r="G723" s="23">
        <v>7.2739187267121269E-11</v>
      </c>
      <c r="H723" s="5"/>
      <c r="I723" s="5"/>
      <c r="J723" s="5"/>
    </row>
    <row r="724" spans="1:10" x14ac:dyDescent="0.25">
      <c r="A724" s="22">
        <v>68.400000000000006</v>
      </c>
      <c r="B724" s="22">
        <v>14690.678400000004</v>
      </c>
      <c r="C724" s="22">
        <v>1.148133721990592</v>
      </c>
      <c r="D724" s="22">
        <v>30.764264983906244</v>
      </c>
      <c r="E724" s="22">
        <v>0.22137685227330195</v>
      </c>
      <c r="F724" s="22">
        <v>13670262808.976484</v>
      </c>
      <c r="G724" s="23">
        <v>7.3151483184606871E-11</v>
      </c>
      <c r="H724" s="5"/>
      <c r="I724" s="5"/>
      <c r="J724" s="5"/>
    </row>
    <row r="725" spans="1:10" x14ac:dyDescent="0.25">
      <c r="A725" s="22">
        <v>68.5</v>
      </c>
      <c r="B725" s="22">
        <v>14733.665000000001</v>
      </c>
      <c r="C725" s="22">
        <v>1.1513960839730439</v>
      </c>
      <c r="D725" s="22">
        <v>30.540956108150912</v>
      </c>
      <c r="E725" s="22">
        <v>0.22330887575533254</v>
      </c>
      <c r="F725" s="22">
        <v>13591645113.674</v>
      </c>
      <c r="G725" s="23">
        <v>7.3574610846330939E-11</v>
      </c>
      <c r="H725" s="5"/>
      <c r="I725" s="5"/>
      <c r="J725" s="5"/>
    </row>
    <row r="726" spans="1:10" x14ac:dyDescent="0.25">
      <c r="A726" s="22">
        <v>68.599999999999994</v>
      </c>
      <c r="B726" s="22">
        <v>14776.714399999999</v>
      </c>
      <c r="C726" s="22">
        <v>1.1546824937614053</v>
      </c>
      <c r="D726" s="22">
        <v>30.315672514394279</v>
      </c>
      <c r="E726" s="22">
        <v>0.22528359375663243</v>
      </c>
      <c r="F726" s="22">
        <v>13511872372.243631</v>
      </c>
      <c r="G726" s="23">
        <v>7.4008987981134332E-11</v>
      </c>
      <c r="H726" s="5"/>
      <c r="I726" s="5"/>
      <c r="J726" s="5"/>
    </row>
    <row r="727" spans="1:10" x14ac:dyDescent="0.25">
      <c r="A727" s="22">
        <v>68.7</v>
      </c>
      <c r="B727" s="22">
        <v>14819.826600000002</v>
      </c>
      <c r="C727" s="22">
        <v>1.1579935274185635</v>
      </c>
      <c r="D727" s="22">
        <v>30.088369846171464</v>
      </c>
      <c r="E727" s="22">
        <v>0.22730266822281564</v>
      </c>
      <c r="F727" s="22">
        <v>13430921438.226942</v>
      </c>
      <c r="G727" s="23">
        <v>7.445505541814956E-11</v>
      </c>
      <c r="H727" s="5"/>
      <c r="I727" s="5"/>
      <c r="J727" s="5"/>
    </row>
    <row r="728" spans="1:10" x14ac:dyDescent="0.25">
      <c r="A728" s="22">
        <v>68.8</v>
      </c>
      <c r="B728" s="22">
        <v>14863.0016</v>
      </c>
      <c r="C728" s="22">
        <v>1.161329784010886</v>
      </c>
      <c r="D728" s="22">
        <v>29.859001992698946</v>
      </c>
      <c r="E728" s="22">
        <v>0.22936785347251742</v>
      </c>
      <c r="F728" s="22">
        <v>13348768291.834141</v>
      </c>
      <c r="G728" s="23">
        <v>7.4913278748851399E-11</v>
      </c>
      <c r="H728" s="5"/>
      <c r="I728" s="5"/>
      <c r="J728" s="5"/>
    </row>
    <row r="729" spans="1:10" x14ac:dyDescent="0.25">
      <c r="A729" s="22">
        <v>68.900000000000006</v>
      </c>
      <c r="B729" s="22">
        <v>14906.239400000004</v>
      </c>
      <c r="C729" s="22">
        <v>1.1646918869138119</v>
      </c>
      <c r="D729" s="22">
        <v>29.62752098978245</v>
      </c>
      <c r="E729" s="22">
        <v>0.23148100291649598</v>
      </c>
      <c r="F729" s="22">
        <v>13265387991.720921</v>
      </c>
      <c r="G729" s="23">
        <v>7.5384150137494007E-11</v>
      </c>
      <c r="H729" s="5"/>
      <c r="I729" s="5"/>
      <c r="J729" s="5"/>
    </row>
    <row r="730" spans="1:10" x14ac:dyDescent="0.25">
      <c r="A730" s="22">
        <v>69</v>
      </c>
      <c r="B730" s="22">
        <v>14949.539999999999</v>
      </c>
      <c r="C730" s="22">
        <v>1.1680804852142352</v>
      </c>
      <c r="D730" s="22">
        <v>29.39387691339812</v>
      </c>
      <c r="E730" s="22">
        <v>0.23364407638432994</v>
      </c>
      <c r="F730" s="22">
        <v>13180754623.259703</v>
      </c>
      <c r="G730" s="23">
        <v>7.5868190295821792E-11</v>
      </c>
      <c r="H730" s="5"/>
      <c r="I730" s="5"/>
      <c r="J730" s="5"/>
    </row>
    <row r="731" spans="1:10" x14ac:dyDescent="0.25">
      <c r="A731" s="22">
        <v>69.099999999999994</v>
      </c>
      <c r="B731" s="22">
        <v>14992.903399999997</v>
      </c>
      <c r="C731" s="22">
        <v>1.1714962552185952</v>
      </c>
      <c r="D731" s="22">
        <v>29.158017765273438</v>
      </c>
      <c r="E731" s="22">
        <v>0.23585914812468189</v>
      </c>
      <c r="F731" s="22">
        <v>13094841242.991814</v>
      </c>
      <c r="G731" s="23">
        <v>7.6365950639927516E-11</v>
      </c>
      <c r="H731" s="5"/>
      <c r="I731" s="5"/>
      <c r="J731" s="5"/>
    </row>
    <row r="732" spans="1:10" x14ac:dyDescent="0.25">
      <c r="A732" s="22">
        <v>69.2</v>
      </c>
      <c r="B732" s="22">
        <v>15036.329600000001</v>
      </c>
      <c r="C732" s="22">
        <v>1.1749399020765809</v>
      </c>
      <c r="D732" s="22">
        <v>28.919889349719153</v>
      </c>
      <c r="E732" s="22">
        <v>0.23812841555428577</v>
      </c>
      <c r="F732" s="22">
        <v>13007619818.869839</v>
      </c>
      <c r="G732" s="23">
        <v>7.6878015649667454E-11</v>
      </c>
      <c r="H732" s="5"/>
      <c r="I732" s="5"/>
      <c r="J732" s="5"/>
    </row>
    <row r="733" spans="1:10" x14ac:dyDescent="0.25">
      <c r="A733" s="22">
        <v>69.3</v>
      </c>
      <c r="B733" s="22">
        <v>15079.818600000001</v>
      </c>
      <c r="C733" s="22">
        <v>1.1784121615314549</v>
      </c>
      <c r="D733" s="22">
        <v>28.679435140881019</v>
      </c>
      <c r="E733" s="22">
        <v>0.24045420883813406</v>
      </c>
      <c r="F733" s="22">
        <v>12919061165.991716</v>
      </c>
      <c r="G733" s="23">
        <v>7.7405005452904843E-11</v>
      </c>
      <c r="H733" s="5"/>
      <c r="I733" s="5"/>
      <c r="J733" s="5"/>
    </row>
    <row r="734" spans="1:10" x14ac:dyDescent="0.25">
      <c r="A734" s="22">
        <v>69.400000000000006</v>
      </c>
      <c r="B734" s="22">
        <v>15123.370400000003</v>
      </c>
      <c r="C734" s="22">
        <v>1.1819138018092987</v>
      </c>
      <c r="D734" s="22">
        <v>28.436596139481939</v>
      </c>
      <c r="E734" s="22">
        <v>0.24283900139907999</v>
      </c>
      <c r="F734" s="22">
        <v>12829134877.22736</v>
      </c>
      <c r="G734" s="23">
        <v>7.7947578661369607E-11</v>
      </c>
      <c r="H734" s="5"/>
      <c r="I734" s="5"/>
      <c r="J734" s="5"/>
    </row>
    <row r="735" spans="1:10" x14ac:dyDescent="0.25">
      <c r="A735" s="22">
        <v>69.5</v>
      </c>
      <c r="B735" s="22">
        <v>15166.985000000001</v>
      </c>
      <c r="C735" s="22">
        <v>1.1854456256608652</v>
      </c>
      <c r="D735" s="22">
        <v>28.191310718020905</v>
      </c>
      <c r="E735" s="22">
        <v>0.24528542146103405</v>
      </c>
      <c r="F735" s="22">
        <v>12737809248.465021</v>
      </c>
      <c r="G735" s="23">
        <v>7.8506435486188936E-11</v>
      </c>
      <c r="H735" s="5"/>
      <c r="I735" s="5"/>
      <c r="J735" s="5"/>
    </row>
    <row r="736" spans="1:10" x14ac:dyDescent="0.25">
      <c r="A736" s="22">
        <v>69.599999999999994</v>
      </c>
      <c r="B736" s="22">
        <v>15210.662399999997</v>
      </c>
      <c r="C736" s="22">
        <v>1.1890084725714067</v>
      </c>
      <c r="D736" s="22">
        <v>27.943514453268051</v>
      </c>
      <c r="E736" s="22">
        <v>0.24779626475285355</v>
      </c>
      <c r="F736" s="22">
        <v>12645051197.705418</v>
      </c>
      <c r="G736" s="23">
        <v>7.9082321167783081E-11</v>
      </c>
      <c r="H736" s="5"/>
      <c r="I736" s="5"/>
      <c r="J736" s="5"/>
    </row>
    <row r="737" spans="1:10" x14ac:dyDescent="0.25">
      <c r="A737" s="22">
        <v>69.7</v>
      </c>
      <c r="B737" s="22">
        <v>15254.402600000001</v>
      </c>
      <c r="C737" s="22">
        <v>1.1926032211556559</v>
      </c>
      <c r="D737" s="22">
        <v>27.69313994475889</v>
      </c>
      <c r="E737" s="22">
        <v>0.25037450850916088</v>
      </c>
      <c r="F737" s="22">
        <v>12550826177.597963</v>
      </c>
      <c r="G737" s="23">
        <v>7.9676029756902008E-11</v>
      </c>
      <c r="H737" s="5"/>
      <c r="I737" s="5"/>
      <c r="J737" s="5"/>
    </row>
    <row r="738" spans="1:10" x14ac:dyDescent="0.25">
      <c r="A738" s="22">
        <v>69.8</v>
      </c>
      <c r="B738" s="22">
        <v>15298.205599999999</v>
      </c>
      <c r="C738" s="22">
        <v>1.1962307917572903</v>
      </c>
      <c r="D738" s="22">
        <v>27.440116617828004</v>
      </c>
      <c r="E738" s="22">
        <v>0.25302332693088658</v>
      </c>
      <c r="F738" s="22">
        <v>12455098080.584539</v>
      </c>
      <c r="G738" s="23">
        <v>8.0288408291126708E-11</v>
      </c>
      <c r="H738" s="5"/>
      <c r="I738" s="5"/>
      <c r="J738" s="5"/>
    </row>
    <row r="739" spans="1:10" x14ac:dyDescent="0.25">
      <c r="A739" s="22">
        <v>69.900000000000006</v>
      </c>
      <c r="B739" s="22">
        <v>15342.071400000003</v>
      </c>
      <c r="C739" s="22">
        <v>1.1998921492746244</v>
      </c>
      <c r="D739" s="22">
        <v>27.184370509540955</v>
      </c>
      <c r="E739" s="22">
        <v>0.25574610828704891</v>
      </c>
      <c r="F739" s="22">
        <v>12357829135.967531</v>
      </c>
      <c r="G739" s="23">
        <v>8.0920361416026895E-11</v>
      </c>
      <c r="H739" s="5"/>
      <c r="I739" s="5"/>
      <c r="J739" s="5"/>
    </row>
    <row r="740" spans="1:10" x14ac:dyDescent="0.25">
      <c r="A740" s="22">
        <v>70</v>
      </c>
      <c r="B740" s="22">
        <v>15386</v>
      </c>
      <c r="C740" s="22">
        <v>1.2035883062370596</v>
      </c>
      <c r="D740" s="22">
        <v>26.925824035672512</v>
      </c>
      <c r="E740" s="22">
        <v>0.25854647386844221</v>
      </c>
      <c r="F740" s="22">
        <v>12258979798.01018</v>
      </c>
      <c r="G740" s="23">
        <v>8.1572856508199428E-11</v>
      </c>
      <c r="H740" s="5"/>
      <c r="I740" s="5"/>
      <c r="J740" s="5"/>
    </row>
    <row r="741" spans="1:10" x14ac:dyDescent="0.25">
      <c r="A741" s="22">
        <v>70.099999999999994</v>
      </c>
      <c r="B741" s="22">
        <v>15429.991399999999</v>
      </c>
      <c r="C741" s="22">
        <v>1.207320326160038</v>
      </c>
      <c r="D741" s="22">
        <v>26.664395736637285</v>
      </c>
      <c r="E741" s="22">
        <v>0.26142829903522724</v>
      </c>
      <c r="F741" s="22">
        <v>12158508624.086212</v>
      </c>
      <c r="G741" s="23">
        <v>8.2246929365907834E-11</v>
      </c>
      <c r="H741" s="5"/>
      <c r="I741" s="5"/>
      <c r="J741" s="5"/>
    </row>
    <row r="742" spans="1:10" x14ac:dyDescent="0.25">
      <c r="A742" s="22">
        <v>70.2</v>
      </c>
      <c r="B742" s="22">
        <v>15474.045600000003</v>
      </c>
      <c r="C742" s="22">
        <v>1.2110893272099401</v>
      </c>
      <c r="D742" s="22">
        <v>26.4</v>
      </c>
      <c r="E742" s="22">
        <v>0.26439573663728666</v>
      </c>
      <c r="F742" s="22">
        <v>12056372141.783087</v>
      </c>
      <c r="G742" s="23">
        <v>8.294369054305786E-11</v>
      </c>
      <c r="H742" s="5"/>
      <c r="I742" s="5"/>
      <c r="J742" s="5"/>
    </row>
    <row r="743" spans="1:10" x14ac:dyDescent="0.25">
      <c r="A743" s="22">
        <v>70.3</v>
      </c>
      <c r="B743" s="22">
        <v>15518.162599999998</v>
      </c>
      <c r="C743" s="22">
        <v>1.214896486214647</v>
      </c>
      <c r="D743" s="22">
        <v>26.132546756870074</v>
      </c>
      <c r="E743" s="22">
        <v>0.2674532431299248</v>
      </c>
      <c r="F743" s="22">
        <v>11952524703.718287</v>
      </c>
      <c r="G743" s="23">
        <v>8.3664332414131055E-11</v>
      </c>
      <c r="H743" s="5"/>
      <c r="I743" s="5"/>
      <c r="J743" s="5"/>
    </row>
    <row r="744" spans="1:10" x14ac:dyDescent="0.25">
      <c r="A744" s="22">
        <v>70.400000000000006</v>
      </c>
      <c r="B744" s="22">
        <v>15562.342400000003</v>
      </c>
      <c r="C744" s="22">
        <v>1.2187430430604731</v>
      </c>
      <c r="D744" s="22">
        <v>25.86194114910942</v>
      </c>
      <c r="E744" s="22">
        <v>0.27060560776065401</v>
      </c>
      <c r="F744" s="22">
        <v>11846918328.593962</v>
      </c>
      <c r="G744" s="23">
        <v>8.4410137072219011E-11</v>
      </c>
      <c r="H744" s="5"/>
      <c r="I744" s="5"/>
      <c r="J744" s="5"/>
    </row>
    <row r="745" spans="1:10" x14ac:dyDescent="0.25">
      <c r="A745" s="22">
        <v>70.5</v>
      </c>
      <c r="B745" s="22">
        <v>15606.585000000001</v>
      </c>
      <c r="C745" s="22">
        <v>1.2226303055219356</v>
      </c>
      <c r="D745" s="22">
        <v>25.58808316384798</v>
      </c>
      <c r="E745" s="22">
        <v>0.27385798526144001</v>
      </c>
      <c r="F745" s="22">
        <v>11739502526.942293</v>
      </c>
      <c r="G745" s="23">
        <v>8.5182485178140082E-11</v>
      </c>
      <c r="H745" s="5"/>
      <c r="I745" s="5"/>
      <c r="J745" s="5"/>
    </row>
    <row r="746" spans="1:10" x14ac:dyDescent="0.25">
      <c r="A746" s="22">
        <v>70.599999999999994</v>
      </c>
      <c r="B746" s="22">
        <v>15650.890399999998</v>
      </c>
      <c r="C746" s="22">
        <v>1.2265596545776147</v>
      </c>
      <c r="D746" s="22">
        <v>25.310867231290217</v>
      </c>
      <c r="E746" s="22">
        <v>0.27721593255776256</v>
      </c>
      <c r="F746" s="22">
        <v>11630224109.605274</v>
      </c>
      <c r="G746" s="23">
        <v>8.5982865899730262E-11</v>
      </c>
      <c r="H746" s="5"/>
      <c r="I746" s="5"/>
      <c r="J746" s="5"/>
    </row>
    <row r="747" spans="1:10" x14ac:dyDescent="0.25">
      <c r="A747" s="22">
        <v>70.7</v>
      </c>
      <c r="B747" s="22">
        <v>15695.258600000003</v>
      </c>
      <c r="C747" s="22">
        <v>1.2305325502732389</v>
      </c>
      <c r="D747" s="22">
        <v>25.030181781201673</v>
      </c>
      <c r="E747" s="22">
        <v>0.28068545008854429</v>
      </c>
      <c r="F747" s="22">
        <v>11519026976.924013</v>
      </c>
      <c r="G747" s="23">
        <v>8.6812888102727168E-11</v>
      </c>
      <c r="H747" s="5"/>
      <c r="I747" s="5"/>
      <c r="J747" s="5"/>
    </row>
    <row r="748" spans="1:10" x14ac:dyDescent="0.25">
      <c r="A748" s="22">
        <v>70.8</v>
      </c>
      <c r="B748" s="22">
        <v>15739.6896</v>
      </c>
      <c r="C748" s="22">
        <v>1.234550538202464</v>
      </c>
      <c r="D748" s="22">
        <v>24.745908752761544</v>
      </c>
      <c r="E748" s="22">
        <v>0.28427302844012914</v>
      </c>
      <c r="F748" s="22">
        <v>11405851886.095758</v>
      </c>
      <c r="G748" s="23">
        <v>8.7674292984555112E-11</v>
      </c>
      <c r="H748" s="5"/>
      <c r="I748" s="5"/>
      <c r="J748" s="5"/>
    </row>
    <row r="749" spans="1:10" x14ac:dyDescent="0.25">
      <c r="A749" s="22">
        <v>70.900000000000006</v>
      </c>
      <c r="B749" s="22">
        <v>15784.183400000004</v>
      </c>
      <c r="C749" s="22">
        <v>1.2386152566867759</v>
      </c>
      <c r="D749" s="22">
        <v>24.457923051641153</v>
      </c>
      <c r="E749" s="22">
        <v>0.28798570112039101</v>
      </c>
      <c r="F749" s="22">
        <v>11290636193.915438</v>
      </c>
      <c r="G749" s="23">
        <v>8.85689683756619E-11</v>
      </c>
      <c r="H749" s="5"/>
      <c r="I749" s="5"/>
      <c r="J749" s="5"/>
    </row>
    <row r="750" spans="1:10" x14ac:dyDescent="0.25">
      <c r="A750" s="22">
        <v>71</v>
      </c>
      <c r="B750" s="22">
        <v>15828.74</v>
      </c>
      <c r="C750" s="22">
        <v>1.2427284447489462</v>
      </c>
      <c r="D750" s="22">
        <v>24.166091947189148</v>
      </c>
      <c r="E750" s="22">
        <v>0.29183110445200455</v>
      </c>
      <c r="F750" s="22">
        <v>11173313571.639065</v>
      </c>
      <c r="G750" s="23">
        <v>8.94989649747479E-11</v>
      </c>
      <c r="H750" s="5"/>
      <c r="I750" s="5"/>
      <c r="J750" s="5"/>
    </row>
    <row r="751" spans="1:10" x14ac:dyDescent="0.25">
      <c r="A751" s="22">
        <v>71.099999999999994</v>
      </c>
      <c r="B751" s="22">
        <v>15873.359399999998</v>
      </c>
      <c r="C751" s="22">
        <v>1.246891950989933</v>
      </c>
      <c r="D751" s="22">
        <v>23.870274401439133</v>
      </c>
      <c r="E751" s="22">
        <v>0.2958175457500154</v>
      </c>
      <c r="F751" s="22">
        <v>11053813688.128164</v>
      </c>
      <c r="G751" s="23">
        <v>9.0466514834966285E-11</v>
      </c>
      <c r="H751" s="5"/>
      <c r="I751" s="5"/>
      <c r="J751" s="5"/>
    </row>
    <row r="752" spans="1:10" x14ac:dyDescent="0.25">
      <c r="A752" s="22">
        <v>71.2</v>
      </c>
      <c r="B752" s="22">
        <v>15918.041600000002</v>
      </c>
      <c r="C752" s="22">
        <v>1.251107743497553</v>
      </c>
      <c r="D752" s="22">
        <v>23.570320320267179</v>
      </c>
      <c r="E752" s="22">
        <v>0.2999540811719541</v>
      </c>
      <c r="F752" s="22">
        <v>10932061856.895315</v>
      </c>
      <c r="G752" s="23">
        <v>9.1474052478879602E-11</v>
      </c>
      <c r="H752" s="5"/>
      <c r="I752" s="5"/>
      <c r="J752" s="5"/>
    </row>
    <row r="753" spans="1:10" x14ac:dyDescent="0.25">
      <c r="A753" s="22">
        <v>71.3</v>
      </c>
      <c r="B753" s="22">
        <v>15962.786599999999</v>
      </c>
      <c r="C753" s="22">
        <v>1.2553779209373781</v>
      </c>
      <c r="D753" s="22">
        <v>23.266069715360182</v>
      </c>
      <c r="E753" s="22">
        <v>0.30425060490699707</v>
      </c>
      <c r="F753" s="22">
        <v>10807978641.834332</v>
      </c>
      <c r="G753" s="23">
        <v>9.2524239095857417E-11</v>
      </c>
      <c r="H753" s="5"/>
      <c r="I753" s="5"/>
      <c r="J753" s="5"/>
    </row>
    <row r="754" spans="1:10" x14ac:dyDescent="0.25">
      <c r="A754" s="22">
        <v>71.400000000000006</v>
      </c>
      <c r="B754" s="22">
        <v>16007.594400000004</v>
      </c>
      <c r="C754" s="22">
        <v>1.2597047250029354</v>
      </c>
      <c r="D754" s="22">
        <v>22.957351763650781</v>
      </c>
      <c r="E754" s="22">
        <v>0.30871795170940075</v>
      </c>
      <c r="F754" s="22">
        <v>10681479415.567095</v>
      </c>
      <c r="G754" s="23">
        <v>9.3619990367870641E-11</v>
      </c>
      <c r="H754" s="5"/>
      <c r="I754" s="5"/>
      <c r="J754" s="5"/>
    </row>
    <row r="755" spans="1:10" x14ac:dyDescent="0.25">
      <c r="A755" s="22">
        <v>71.5</v>
      </c>
      <c r="B755" s="22">
        <v>16052.465000000002</v>
      </c>
      <c r="C755" s="22">
        <v>1.2640905544345136</v>
      </c>
      <c r="D755" s="22">
        <v>22.643983748448491</v>
      </c>
      <c r="E755" s="22">
        <v>0.31336801520228974</v>
      </c>
      <c r="F755" s="22">
        <v>10552473863.247795</v>
      </c>
      <c r="G755" s="23">
        <v>9.4764508584361882E-11</v>
      </c>
      <c r="H755" s="5"/>
      <c r="I755" s="5"/>
      <c r="J755" s="5"/>
    </row>
    <row r="756" spans="1:10" x14ac:dyDescent="0.25">
      <c r="A756" s="22">
        <v>71.599999999999994</v>
      </c>
      <c r="B756" s="22">
        <v>16097.398399999998</v>
      </c>
      <c r="C756" s="22">
        <v>1.2685379808550687</v>
      </c>
      <c r="D756" s="22">
        <v>22.325769863545602</v>
      </c>
      <c r="E756" s="22">
        <v>0.31821388490288882</v>
      </c>
      <c r="F756" s="22">
        <v>10420865423.304775</v>
      </c>
      <c r="G756" s="23">
        <v>9.5961319850042685E-11</v>
      </c>
      <c r="H756" s="5"/>
      <c r="I756" s="5"/>
      <c r="J756" s="5"/>
    </row>
    <row r="757" spans="1:10" x14ac:dyDescent="0.25">
      <c r="A757" s="22">
        <v>71.7</v>
      </c>
      <c r="B757" s="22">
        <v>16142.394600000001</v>
      </c>
      <c r="C757" s="22">
        <v>1.2730497667196237</v>
      </c>
      <c r="D757" s="22">
        <v>22.002499857970669</v>
      </c>
      <c r="E757" s="22">
        <v>0.32327000557493335</v>
      </c>
      <c r="F757" s="22">
        <v>10286550655.035006</v>
      </c>
      <c r="G757" s="23">
        <v>9.7214317367943492E-11</v>
      </c>
      <c r="H757" s="5"/>
      <c r="I757" s="5"/>
      <c r="J757" s="5"/>
    </row>
    <row r="758" spans="1:10" x14ac:dyDescent="0.25">
      <c r="A758" s="22">
        <v>71.8</v>
      </c>
      <c r="B758" s="22">
        <v>16187.453599999999</v>
      </c>
      <c r="C758" s="22">
        <v>1.277628885733427</v>
      </c>
      <c r="D758" s="22">
        <v>21.673947494630518</v>
      </c>
      <c r="E758" s="22">
        <v>0.32855236334015103</v>
      </c>
      <c r="F758" s="22">
        <v>10149418520.991323</v>
      </c>
      <c r="G758" s="23">
        <v>9.852781200536473E-11</v>
      </c>
      <c r="H758" s="5"/>
      <c r="I758" s="5"/>
      <c r="J758" s="5"/>
    </row>
    <row r="759" spans="1:10" x14ac:dyDescent="0.25">
      <c r="A759" s="22">
        <v>71.900000000000006</v>
      </c>
      <c r="B759" s="22">
        <v>16232.575400000003</v>
      </c>
      <c r="C759" s="22">
        <v>1.2822785461669794</v>
      </c>
      <c r="D759" s="22">
        <v>21.339868790599411</v>
      </c>
      <c r="E759" s="22">
        <v>0.33407870403110707</v>
      </c>
      <c r="F759" s="22">
        <v>10009349569.581182</v>
      </c>
      <c r="G759" s="23">
        <v>9.9906591636987127E-11</v>
      </c>
      <c r="H759" s="5"/>
      <c r="I759" s="5"/>
      <c r="J759" s="5"/>
    </row>
    <row r="760" spans="1:10" x14ac:dyDescent="0.25">
      <c r="A760" s="22">
        <v>72</v>
      </c>
      <c r="B760" s="22">
        <v>16277.76</v>
      </c>
      <c r="C760" s="22">
        <v>1.2870022175865685</v>
      </c>
      <c r="D760" s="22">
        <v>21.000000000000018</v>
      </c>
      <c r="E760" s="22">
        <v>0.33986879059939312</v>
      </c>
      <c r="F760" s="22">
        <v>9866215000.4602032</v>
      </c>
      <c r="G760" s="23">
        <v>1.0135599112256885E-10</v>
      </c>
      <c r="H760" s="5"/>
      <c r="I760" s="5"/>
      <c r="J760" s="5"/>
    </row>
    <row r="761" spans="1:10" x14ac:dyDescent="0.25">
      <c r="A761" s="22">
        <v>72.099999999999994</v>
      </c>
      <c r="B761" s="22">
        <v>16323.007399999997</v>
      </c>
      <c r="C761" s="22">
        <v>1.2918036616324682</v>
      </c>
      <c r="D761" s="22">
        <v>20.654055291879146</v>
      </c>
      <c r="E761" s="22">
        <v>0.34594470812087152</v>
      </c>
      <c r="F761" s="22">
        <v>9719875591.2899895</v>
      </c>
      <c r="G761" s="23">
        <v>1.028819752483358E-10</v>
      </c>
      <c r="H761" s="5"/>
      <c r="I761" s="5"/>
      <c r="J761" s="5"/>
    </row>
    <row r="762" spans="1:10" x14ac:dyDescent="0.25">
      <c r="A762" s="22">
        <v>72.2</v>
      </c>
      <c r="B762" s="22">
        <v>16368.317600000002</v>
      </c>
      <c r="C762" s="22">
        <v>1.2966869676199786</v>
      </c>
      <c r="D762" s="22">
        <v>20.301724064719231</v>
      </c>
      <c r="E762" s="22">
        <v>0.35233122715991527</v>
      </c>
      <c r="F762" s="22">
        <v>9570180459.9612808</v>
      </c>
      <c r="G762" s="23">
        <v>1.0449123756690852E-10</v>
      </c>
      <c r="H762" s="5"/>
      <c r="I762" s="5"/>
      <c r="J762" s="5"/>
    </row>
    <row r="763" spans="1:10" x14ac:dyDescent="0.25">
      <c r="A763" s="22">
        <v>72.3</v>
      </c>
      <c r="B763" s="22">
        <v>16413.690599999998</v>
      </c>
      <c r="C763" s="22">
        <v>1.3016565939203439</v>
      </c>
      <c r="D763" s="22">
        <v>19.942667825544319</v>
      </c>
      <c r="E763" s="22">
        <v>0.3590562391749117</v>
      </c>
      <c r="F763" s="22">
        <v>9416965630.1470413</v>
      </c>
      <c r="G763" s="23">
        <v>1.0619131886800626E-10</v>
      </c>
      <c r="H763" s="5"/>
      <c r="I763" s="5"/>
      <c r="J763" s="5"/>
    </row>
    <row r="764" spans="1:10" x14ac:dyDescent="0.25">
      <c r="A764" s="22">
        <v>72.400000000000006</v>
      </c>
      <c r="B764" s="22">
        <v>16459.126400000001</v>
      </c>
      <c r="C764" s="22">
        <v>1.3067174163114115</v>
      </c>
      <c r="D764" s="22">
        <v>19.576516544063704</v>
      </c>
      <c r="E764" s="22">
        <v>0.36615128148061515</v>
      </c>
      <c r="F764" s="22">
        <v>9260052360.5691776</v>
      </c>
      <c r="G764" s="23">
        <v>1.0799075005862429E-10</v>
      </c>
      <c r="H764" s="5"/>
      <c r="I764" s="5"/>
      <c r="J764" s="5"/>
    </row>
    <row r="765" spans="1:10" x14ac:dyDescent="0.25">
      <c r="A765" s="22">
        <v>72.5</v>
      </c>
      <c r="B765" s="22">
        <v>16504.625</v>
      </c>
      <c r="C765" s="22">
        <v>1.3118747847886754</v>
      </c>
      <c r="D765" s="22">
        <v>19.202864369671524</v>
      </c>
      <c r="E765" s="22">
        <v>0.37365217439218057</v>
      </c>
      <c r="F765" s="22">
        <v>9099245188.4715996</v>
      </c>
      <c r="G765" s="23">
        <v>1.0989922562664453E-10</v>
      </c>
      <c r="H765" s="5"/>
      <c r="I765" s="5"/>
      <c r="J765" s="5"/>
    </row>
    <row r="766" spans="1:10" x14ac:dyDescent="0.25">
      <c r="A766" s="22">
        <v>72.599999999999994</v>
      </c>
      <c r="B766" s="22">
        <v>16550.186399999999</v>
      </c>
      <c r="C766" s="22">
        <v>1.3171345907194412</v>
      </c>
      <c r="D766" s="22">
        <v>18.821264569629761</v>
      </c>
      <c r="E766" s="22">
        <v>0.38159980004176219</v>
      </c>
      <c r="F766" s="22">
        <v>8934329624.9811516</v>
      </c>
      <c r="G766" s="23">
        <v>1.119278157371667E-10</v>
      </c>
      <c r="H766" s="5"/>
      <c r="I766" s="5"/>
      <c r="J766" s="5"/>
    </row>
    <row r="767" spans="1:10" x14ac:dyDescent="0.25">
      <c r="A767" s="22">
        <v>72.7</v>
      </c>
      <c r="B767" s="22">
        <v>16595.810600000001</v>
      </c>
      <c r="C767" s="22">
        <v>1.3225033467389298</v>
      </c>
      <c r="D767" s="22">
        <v>18.431223507949746</v>
      </c>
      <c r="E767" s="22">
        <v>0.39004106168001584</v>
      </c>
      <c r="F767" s="22">
        <v>8765069423.3949242</v>
      </c>
      <c r="G767" s="23">
        <v>1.1408922755715901E-10</v>
      </c>
      <c r="H767" s="5"/>
      <c r="I767" s="5"/>
      <c r="J767" s="5"/>
    </row>
    <row r="768" spans="1:10" x14ac:dyDescent="0.25">
      <c r="A768" s="22">
        <v>72.8</v>
      </c>
      <c r="B768" s="22">
        <v>16641.497599999999</v>
      </c>
      <c r="C768" s="22">
        <v>1.3279882824737168</v>
      </c>
      <c r="D768" s="22">
        <v>18.032193432857799</v>
      </c>
      <c r="E768" s="22">
        <v>0.39903007509194666</v>
      </c>
      <c r="F768" s="22">
        <v>8591203319.2236633</v>
      </c>
      <c r="G768" s="23">
        <v>1.1639812990601695E-10</v>
      </c>
      <c r="H768" s="5"/>
      <c r="I768" s="5"/>
      <c r="J768" s="5"/>
    </row>
    <row r="769" spans="1:10" x14ac:dyDescent="0.25">
      <c r="A769" s="22">
        <v>72.900000000000006</v>
      </c>
      <c r="B769" s="22">
        <v>16687.247400000004</v>
      </c>
      <c r="C769" s="22">
        <v>1.3335974601017089</v>
      </c>
      <c r="D769" s="22">
        <v>17.623563771269396</v>
      </c>
      <c r="E769" s="22">
        <v>0.40862966158840308</v>
      </c>
      <c r="F769" s="22">
        <v>8412441111.1950445</v>
      </c>
      <c r="G769" s="23">
        <v>1.188715602025704E-10</v>
      </c>
      <c r="H769" s="5"/>
      <c r="I769" s="5"/>
      <c r="J769" s="5"/>
    </row>
    <row r="770" spans="1:10" x14ac:dyDescent="0.25">
      <c r="A770" s="22">
        <v>73</v>
      </c>
      <c r="B770" s="22">
        <v>16733.060000000001</v>
      </c>
      <c r="C770" s="22">
        <v>1.3393399150162715</v>
      </c>
      <c r="D770" s="22">
        <v>17.204650534085232</v>
      </c>
      <c r="E770" s="22">
        <v>0.41891323718416373</v>
      </c>
      <c r="F770" s="22">
        <v>8228458912.3275108</v>
      </c>
      <c r="G770" s="23">
        <v>1.2152943955299388E-10</v>
      </c>
      <c r="H770" s="5"/>
      <c r="I770" s="5"/>
      <c r="J770" s="5"/>
    </row>
    <row r="771" spans="1:10" x14ac:dyDescent="0.25">
      <c r="A771" s="22">
        <v>73.099999999999994</v>
      </c>
      <c r="B771" s="22">
        <v>16778.935399999998</v>
      </c>
      <c r="C771" s="22">
        <v>1.3452258285996324</v>
      </c>
      <c r="D771" s="22">
        <v>16.774683305505377</v>
      </c>
      <c r="E771" s="22">
        <v>0.42996722857985503</v>
      </c>
      <c r="F771" s="22">
        <v>8038893345.0030451</v>
      </c>
      <c r="G771" s="23">
        <v>1.2439523166725398E-10</v>
      </c>
      <c r="H771" s="5"/>
      <c r="I771" s="5"/>
      <c r="J771" s="5"/>
    </row>
    <row r="772" spans="1:10" x14ac:dyDescent="0.25">
      <c r="A772" s="22">
        <v>73.2</v>
      </c>
      <c r="B772" s="22">
        <v>16824.873600000003</v>
      </c>
      <c r="C772" s="22">
        <v>1.3512667425449676</v>
      </c>
      <c r="D772" s="22">
        <v>16.332789106579412</v>
      </c>
      <c r="E772" s="22">
        <v>0.44189419892596504</v>
      </c>
      <c r="F772" s="22">
        <v>7843334377.37815</v>
      </c>
      <c r="G772" s="23">
        <v>1.2749679560828279E-10</v>
      </c>
      <c r="H772" s="5"/>
      <c r="I772" s="5"/>
      <c r="J772" s="5"/>
    </row>
    <row r="773" spans="1:10" x14ac:dyDescent="0.25">
      <c r="A773" s="22">
        <v>73.3</v>
      </c>
      <c r="B773" s="22">
        <v>16870.874599999999</v>
      </c>
      <c r="C773" s="22">
        <v>1.3574758276324592</v>
      </c>
      <c r="D773" s="22">
        <v>15.877972162716519</v>
      </c>
      <c r="E773" s="22">
        <v>0.45481694386289284</v>
      </c>
      <c r="F773" s="22">
        <v>7641316390.0236731</v>
      </c>
      <c r="G773" s="23">
        <v>1.3086750357642264E-10</v>
      </c>
      <c r="H773" s="5"/>
      <c r="I773" s="5"/>
      <c r="J773" s="5"/>
    </row>
    <row r="774" spans="1:10" x14ac:dyDescent="0.25">
      <c r="A774" s="22">
        <v>73.400000000000006</v>
      </c>
      <c r="B774" s="22">
        <v>16916.938400000003</v>
      </c>
      <c r="C774" s="22">
        <v>1.3638682248874276</v>
      </c>
      <c r="D774" s="22">
        <v>15.409088227406532</v>
      </c>
      <c r="E774" s="22">
        <v>0.46888393530998762</v>
      </c>
      <c r="F774" s="22">
        <v>7432306905.7507324</v>
      </c>
      <c r="G774" s="23">
        <v>1.3454772692799486E-10</v>
      </c>
      <c r="H774" s="5"/>
      <c r="I774" s="5"/>
      <c r="J774" s="5"/>
    </row>
    <row r="775" spans="1:10" x14ac:dyDescent="0.25">
      <c r="A775" s="22">
        <v>73.5</v>
      </c>
      <c r="B775" s="22">
        <v>16963.065000000002</v>
      </c>
      <c r="C775" s="22">
        <v>1.3704614844717768</v>
      </c>
      <c r="D775" s="22">
        <v>14.924811556599312</v>
      </c>
      <c r="E775" s="22">
        <v>0.48427667080721903</v>
      </c>
      <c r="F775" s="22">
        <v>7215692187.2270994</v>
      </c>
      <c r="G775" s="23">
        <v>1.3858684296014678E-10</v>
      </c>
      <c r="H775" s="5"/>
      <c r="I775" s="5"/>
      <c r="J775" s="5"/>
    </row>
    <row r="776" spans="1:10" x14ac:dyDescent="0.25">
      <c r="A776" s="22">
        <v>73.599999999999994</v>
      </c>
      <c r="B776" s="22">
        <v>17009.254399999998</v>
      </c>
      <c r="C776" s="22">
        <v>1.3772761388730728</v>
      </c>
      <c r="D776" s="22">
        <v>14.423591785682257</v>
      </c>
      <c r="E776" s="22">
        <v>0.50121977091705538</v>
      </c>
      <c r="F776" s="22">
        <v>6990758564.8289309</v>
      </c>
      <c r="G776" s="23">
        <v>1.4304599289568955E-10</v>
      </c>
      <c r="H776" s="5"/>
      <c r="I776" s="5"/>
      <c r="J776" s="5"/>
    </row>
    <row r="777" spans="1:10" x14ac:dyDescent="0.25">
      <c r="A777" s="22">
        <v>73.7</v>
      </c>
      <c r="B777" s="22">
        <v>17055.506600000001</v>
      </c>
      <c r="C777" s="22">
        <v>1.3843364643127432</v>
      </c>
      <c r="D777" s="22">
        <v>13.903596656980511</v>
      </c>
      <c r="E777" s="22">
        <v>0.51999512870174591</v>
      </c>
      <c r="F777" s="22">
        <v>6756667833.354269</v>
      </c>
      <c r="G777" s="23">
        <v>1.4800194780384249E-10</v>
      </c>
      <c r="H777" s="5"/>
      <c r="I777" s="5"/>
      <c r="J777" s="5"/>
    </row>
    <row r="778" spans="1:10" x14ac:dyDescent="0.25">
      <c r="A778" s="22">
        <v>73.8</v>
      </c>
      <c r="B778" s="22">
        <v>17101.821599999999</v>
      </c>
      <c r="C778" s="22">
        <v>1.3916715119160068</v>
      </c>
      <c r="D778" s="22">
        <v>13.362634470792056</v>
      </c>
      <c r="E778" s="22">
        <v>0.54096218618845526</v>
      </c>
      <c r="F778" s="22">
        <v>6512424231.3910999</v>
      </c>
      <c r="G778" s="23">
        <v>1.5355265020663325E-10</v>
      </c>
      <c r="H778" s="5"/>
      <c r="I778" s="5"/>
      <c r="J778" s="5"/>
    </row>
    <row r="779" spans="1:10" x14ac:dyDescent="0.25">
      <c r="A779" s="22">
        <v>73.900000000000006</v>
      </c>
      <c r="B779" s="22">
        <v>17148.199400000001</v>
      </c>
      <c r="C779" s="22">
        <v>1.3993165355447268</v>
      </c>
      <c r="D779" s="22">
        <v>12.798046725965619</v>
      </c>
      <c r="E779" s="22">
        <v>0.56458774482643648</v>
      </c>
      <c r="F779" s="22">
        <v>6256829179.8220968</v>
      </c>
      <c r="G779" s="23">
        <v>1.5982536381605888E-10</v>
      </c>
      <c r="H779" s="5"/>
      <c r="I779" s="5"/>
      <c r="J779" s="5"/>
    </row>
    <row r="780" spans="1:10" x14ac:dyDescent="0.25">
      <c r="A780" s="22">
        <v>74</v>
      </c>
      <c r="B780" s="22">
        <v>17194.64</v>
      </c>
      <c r="C780" s="22">
        <v>1.4073150204237546</v>
      </c>
      <c r="D780" s="22">
        <v>12.206555615733693</v>
      </c>
      <c r="E780" s="22">
        <v>0.59149111023192624</v>
      </c>
      <c r="F780" s="22">
        <v>5988417710.3035898</v>
      </c>
      <c r="G780" s="23">
        <v>1.669890191994145E-10</v>
      </c>
      <c r="H780" s="5"/>
      <c r="I780" s="5"/>
      <c r="J780" s="5"/>
    </row>
    <row r="781" spans="1:10" x14ac:dyDescent="0.25">
      <c r="A781" s="22">
        <v>74.099999999999994</v>
      </c>
      <c r="B781" s="22">
        <v>17241.143399999997</v>
      </c>
      <c r="C781" s="22">
        <v>1.4157216538305575</v>
      </c>
      <c r="D781" s="22">
        <v>11.584040745784748</v>
      </c>
      <c r="E781" s="22">
        <v>0.62251486994894556</v>
      </c>
      <c r="F781" s="22">
        <v>5705366589.3816862</v>
      </c>
      <c r="G781" s="23">
        <v>1.7527357520919161E-10</v>
      </c>
      <c r="H781" s="5"/>
      <c r="I781" s="5"/>
      <c r="J781" s="5"/>
    </row>
    <row r="782" spans="1:10" x14ac:dyDescent="0.25">
      <c r="A782" s="22">
        <v>74.2</v>
      </c>
      <c r="B782" s="22">
        <v>17287.709600000002</v>
      </c>
      <c r="C782" s="22">
        <v>1.4246068350086367</v>
      </c>
      <c r="D782" s="22">
        <v>10.925200226998097</v>
      </c>
      <c r="E782" s="22">
        <v>0.65884051878665062</v>
      </c>
      <c r="F782" s="22">
        <v>5405356950.6602097</v>
      </c>
      <c r="G782" s="23">
        <v>1.8500165837852025E-10</v>
      </c>
      <c r="H782" s="5"/>
      <c r="I782" s="5"/>
      <c r="J782" s="5"/>
    </row>
    <row r="783" spans="1:10" x14ac:dyDescent="0.25">
      <c r="A783" s="22">
        <v>74.3</v>
      </c>
      <c r="B783" s="22">
        <v>17334.338599999999</v>
      </c>
      <c r="C783" s="22">
        <v>1.4340638281298219</v>
      </c>
      <c r="D783" s="22">
        <v>10.223013254417753</v>
      </c>
      <c r="E783" s="22">
        <v>0.70218697258034446</v>
      </c>
      <c r="F783" s="22">
        <v>5085360297.2410879</v>
      </c>
      <c r="G783" s="23">
        <v>1.9664290070902556E-10</v>
      </c>
      <c r="H783" s="5"/>
      <c r="I783" s="5"/>
      <c r="J783" s="5"/>
    </row>
    <row r="784" spans="1:10" x14ac:dyDescent="0.25">
      <c r="A784" s="22">
        <v>74.400000000000006</v>
      </c>
      <c r="B784" s="22">
        <v>17381.030400000003</v>
      </c>
      <c r="C784" s="22">
        <v>1.4442207408321734</v>
      </c>
      <c r="D784" s="22">
        <v>9.467840302835647</v>
      </c>
      <c r="E784" s="22">
        <v>0.75517295158210551</v>
      </c>
      <c r="F784" s="22">
        <v>4741287747.2621117</v>
      </c>
      <c r="G784" s="23">
        <v>2.1091316395581699E-10</v>
      </c>
      <c r="H784" s="5"/>
      <c r="I784" s="5"/>
      <c r="J784" s="5"/>
    </row>
    <row r="785" spans="1:10" x14ac:dyDescent="0.25">
      <c r="A785" s="22">
        <v>74.5</v>
      </c>
      <c r="B785" s="22">
        <v>17427.785</v>
      </c>
      <c r="C785" s="22">
        <v>1.4552620265106595</v>
      </c>
      <c r="D785" s="22">
        <v>8.6458082328953108</v>
      </c>
      <c r="E785" s="22">
        <v>0.82203206994033629</v>
      </c>
      <c r="F785" s="22">
        <v>4367376701.3257446</v>
      </c>
      <c r="G785" s="23">
        <v>2.289704022317204E-10</v>
      </c>
      <c r="H785" s="5"/>
      <c r="I785" s="5"/>
      <c r="J785" s="5"/>
    </row>
    <row r="786" spans="1:10" x14ac:dyDescent="0.25">
      <c r="A786" s="22">
        <v>74.599999999999994</v>
      </c>
      <c r="B786" s="22">
        <v>17474.6024</v>
      </c>
      <c r="C786" s="22">
        <v>1.4674708137011663</v>
      </c>
      <c r="D786" s="22">
        <v>7.7356318423255406</v>
      </c>
      <c r="E786" s="22">
        <v>0.91017639056977018</v>
      </c>
      <c r="F786" s="22">
        <v>3955022489.8127122</v>
      </c>
      <c r="G786" s="23">
        <v>2.5284306285888009E-10</v>
      </c>
      <c r="H786" s="5"/>
      <c r="I786" s="5"/>
      <c r="J786" s="5"/>
    </row>
    <row r="787" spans="1:10" x14ac:dyDescent="0.25">
      <c r="A787" s="22">
        <v>74.7</v>
      </c>
      <c r="B787" s="22">
        <v>17521.482600000003</v>
      </c>
      <c r="C787" s="22">
        <v>1.481323766590402</v>
      </c>
      <c r="D787" s="22">
        <v>6.7014923711065988</v>
      </c>
      <c r="E787" s="22">
        <v>1.0341394712189418</v>
      </c>
      <c r="F787" s="22">
        <v>3490269461.7637649</v>
      </c>
      <c r="G787" s="23">
        <v>2.8651082988150214E-10</v>
      </c>
      <c r="H787" s="5"/>
      <c r="I787" s="5"/>
      <c r="J787" s="5"/>
    </row>
    <row r="788" spans="1:10" x14ac:dyDescent="0.25">
      <c r="A788" s="22">
        <v>74.8</v>
      </c>
      <c r="B788" s="22">
        <v>17568.425599999999</v>
      </c>
      <c r="C788" s="22">
        <v>1.4977504138993303</v>
      </c>
      <c r="D788" s="22">
        <v>5.4735728733616478</v>
      </c>
      <c r="E788" s="22">
        <v>1.227919497744951</v>
      </c>
      <c r="F788" s="22">
        <v>2947339528.5655084</v>
      </c>
      <c r="G788" s="23">
        <v>3.3928904027107705E-10</v>
      </c>
      <c r="H788" s="5"/>
      <c r="I788" s="5"/>
      <c r="J788" s="5"/>
    </row>
    <row r="789" spans="1:10" x14ac:dyDescent="0.25">
      <c r="A789" s="22">
        <v>74.900000000000006</v>
      </c>
      <c r="B789" s="22">
        <v>17615.431400000005</v>
      </c>
      <c r="C789" s="22">
        <v>1.5191508093703503</v>
      </c>
      <c r="D789" s="22">
        <v>3.8716921365211352</v>
      </c>
      <c r="E789" s="22">
        <v>1.6018807368405126</v>
      </c>
      <c r="F789" s="22">
        <v>2265323993.8182063</v>
      </c>
      <c r="G789" s="23">
        <v>4.4143795886543311E-10</v>
      </c>
      <c r="H789" s="5"/>
      <c r="I789" s="5"/>
      <c r="J789" s="5"/>
    </row>
    <row r="790" spans="1:10" x14ac:dyDescent="0.25">
      <c r="A790" s="22">
        <v>75</v>
      </c>
      <c r="B790" s="22">
        <v>17662.5</v>
      </c>
      <c r="C790" s="22">
        <v>1.5707963267948966</v>
      </c>
      <c r="D790" s="22">
        <v>4.594306705907325E-15</v>
      </c>
      <c r="E790" s="22">
        <v>3.8716921365211308</v>
      </c>
      <c r="F790" s="22">
        <v>939763512.10334468</v>
      </c>
      <c r="G790" s="23">
        <v>1.0640974959347339E-9</v>
      </c>
      <c r="H790" s="5"/>
      <c r="I790" s="5"/>
      <c r="J790" s="5"/>
    </row>
  </sheetData>
  <mergeCells count="6">
    <mergeCell ref="A31:J31"/>
    <mergeCell ref="A5:J5"/>
    <mergeCell ref="A10:J10"/>
    <mergeCell ref="A14:J14"/>
    <mergeCell ref="A17:J17"/>
    <mergeCell ref="A23:J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>
      <selection activeCell="H20" sqref="H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Wykresy</vt:lpstr>
      </vt:variant>
      <vt:variant>
        <vt:i4>4</vt:i4>
      </vt:variant>
    </vt:vector>
  </HeadingPairs>
  <TitlesOfParts>
    <vt:vector size="8" baseType="lpstr">
      <vt:lpstr>main</vt:lpstr>
      <vt:lpstr>wyniki</vt:lpstr>
      <vt:lpstr>calc_C</vt:lpstr>
      <vt:lpstr>info</vt:lpstr>
      <vt:lpstr>Uk</vt:lpstr>
      <vt:lpstr>U_reszta</vt:lpstr>
      <vt:lpstr>Fe</vt:lpstr>
      <vt:lpstr>Fpk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bluemann;Matusiak Tomasz</dc:creator>
  <cp:keywords>modelowanie;zaliczenie</cp:keywords>
  <cp:lastModifiedBy>bluemann</cp:lastModifiedBy>
  <dcterms:created xsi:type="dcterms:W3CDTF">2017-03-28T15:05:56Z</dcterms:created>
  <dcterms:modified xsi:type="dcterms:W3CDTF">2017-05-08T20:04:15Z</dcterms:modified>
</cp:coreProperties>
</file>